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dolan_rand_org/Documents/Documents/Projects/VKRF/"/>
    </mc:Choice>
  </mc:AlternateContent>
  <xr:revisionPtr revIDLastSave="5" documentId="8_{F25B43C9-BB47-B943-B0D4-1FE14B7A4682}" xr6:coauthVersionLast="47" xr6:coauthVersionMax="47" xr10:uidLastSave="{A8779A98-AEE3-2144-BD87-B2BD1EC52A89}"/>
  <bookViews>
    <workbookView xWindow="2200" yWindow="10560" windowWidth="34560" windowHeight="20380" xr2:uid="{3FFFD350-7EAA-674A-99D8-573F28FE7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D13" i="1" s="1"/>
  <c r="D14" i="1" s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<sst xmlns="http://schemas.openxmlformats.org/spreadsheetml/2006/main" count="16" uniqueCount="16">
  <si>
    <t>Brazil</t>
  </si>
  <si>
    <t>Africa_Western</t>
  </si>
  <si>
    <t>Region</t>
  </si>
  <si>
    <t>Average Profit of Conserved Land</t>
  </si>
  <si>
    <t>Area Conserved Land</t>
  </si>
  <si>
    <t>South America_Sourthern</t>
  </si>
  <si>
    <t>Africa_Eastern</t>
  </si>
  <si>
    <t>Africa_Southern</t>
  </si>
  <si>
    <t>Australia_NZ</t>
  </si>
  <si>
    <t>China</t>
  </si>
  <si>
    <t>India</t>
  </si>
  <si>
    <t>Russia</t>
  </si>
  <si>
    <t>South America_Northern</t>
  </si>
  <si>
    <t>Cost</t>
  </si>
  <si>
    <t>Billions 2025$</t>
  </si>
  <si>
    <t>Billions 1975$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</si>
</sst>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A979-1808-6243-9F2F-C85530D42BD5}">
  <dimension ref="A1:E14"/>
  <sheetViews>
    <sheetView tabSelected="1" workbookViewId="0">
      <selection activeCell="C13" sqref="C13"/>
    </sheetView>
  </sheetViews>
  <sheetFormatPr baseColWidth="10" defaultRowHeight="16" x14ac:dyDescent="0.2"/>
  <cols>
    <col min="2" max="2" width="21.5" customWidth="1"/>
    <col min="3" max="3" width="19.1640625" customWidth="1"/>
    <col min="4" max="4" width="12.1640625" bestFit="1" customWidth="1"/>
  </cols>
  <sheetData>
    <row r="1" spans="1:5" x14ac:dyDescent="0.2">
      <c r="A1" t="s">
        <v>2</v>
      </c>
      <c r="B1" t="s">
        <v>3</v>
      </c>
      <c r="C1" t="s">
        <v>4</v>
      </c>
      <c r="D1" t="s">
        <v>13</v>
      </c>
    </row>
    <row r="2" spans="1:5" x14ac:dyDescent="0.2">
      <c r="A2" t="s">
        <v>0</v>
      </c>
      <c r="B2">
        <v>2664793</v>
      </c>
      <c r="C2">
        <v>4000</v>
      </c>
      <c r="D2">
        <f>B2*C2</f>
        <v>10659172000</v>
      </c>
    </row>
    <row r="3" spans="1:5" x14ac:dyDescent="0.2">
      <c r="A3" t="s">
        <v>1</v>
      </c>
      <c r="B3">
        <v>940019</v>
      </c>
      <c r="C3">
        <v>5000</v>
      </c>
      <c r="D3">
        <f t="shared" ref="D3:D11" si="0">B3*C3</f>
        <v>4700095000</v>
      </c>
    </row>
    <row r="4" spans="1:5" x14ac:dyDescent="0.2">
      <c r="A4" t="s">
        <v>5</v>
      </c>
      <c r="B4">
        <v>5423742</v>
      </c>
      <c r="C4">
        <v>1500</v>
      </c>
      <c r="D4">
        <f t="shared" si="0"/>
        <v>8135613000</v>
      </c>
    </row>
    <row r="5" spans="1:5" x14ac:dyDescent="0.2">
      <c r="A5" t="s">
        <v>6</v>
      </c>
      <c r="B5">
        <v>588972</v>
      </c>
      <c r="C5">
        <v>1900</v>
      </c>
      <c r="D5">
        <f t="shared" si="0"/>
        <v>1119046800</v>
      </c>
    </row>
    <row r="6" spans="1:5" x14ac:dyDescent="0.2">
      <c r="A6" t="s">
        <v>7</v>
      </c>
      <c r="B6">
        <v>1412225</v>
      </c>
      <c r="C6">
        <v>1800</v>
      </c>
      <c r="D6">
        <f t="shared" si="0"/>
        <v>2542005000</v>
      </c>
    </row>
    <row r="7" spans="1:5" x14ac:dyDescent="0.2">
      <c r="A7" t="s">
        <v>8</v>
      </c>
      <c r="B7">
        <v>4785460</v>
      </c>
      <c r="C7">
        <v>2000</v>
      </c>
      <c r="D7">
        <f t="shared" si="0"/>
        <v>9570920000</v>
      </c>
    </row>
    <row r="8" spans="1:5" x14ac:dyDescent="0.2">
      <c r="A8" t="s">
        <v>9</v>
      </c>
      <c r="B8">
        <v>16199000</v>
      </c>
      <c r="C8">
        <v>400</v>
      </c>
      <c r="D8">
        <f t="shared" si="0"/>
        <v>6479600000</v>
      </c>
    </row>
    <row r="9" spans="1:5" x14ac:dyDescent="0.2">
      <c r="A9" t="s">
        <v>10</v>
      </c>
      <c r="B9">
        <v>11014290</v>
      </c>
      <c r="C9">
        <v>200</v>
      </c>
      <c r="D9">
        <f t="shared" si="0"/>
        <v>2202858000</v>
      </c>
    </row>
    <row r="10" spans="1:5" x14ac:dyDescent="0.2">
      <c r="A10" t="s">
        <v>11</v>
      </c>
      <c r="B10">
        <v>8046354</v>
      </c>
      <c r="C10">
        <v>300</v>
      </c>
      <c r="D10">
        <f t="shared" si="0"/>
        <v>2413906200</v>
      </c>
    </row>
    <row r="11" spans="1:5" x14ac:dyDescent="0.2">
      <c r="A11" t="s">
        <v>12</v>
      </c>
      <c r="B11">
        <v>10282782</v>
      </c>
      <c r="C11">
        <v>400</v>
      </c>
      <c r="D11">
        <f t="shared" si="0"/>
        <v>4113112800</v>
      </c>
    </row>
    <row r="12" spans="1:5" x14ac:dyDescent="0.2">
      <c r="C12">
        <f>SUM(C2:C11)</f>
        <v>17500</v>
      </c>
      <c r="D12">
        <f>SUM(D2:D11)</f>
        <v>51936328800</v>
      </c>
    </row>
    <row r="13" spans="1:5" x14ac:dyDescent="0.2">
      <c r="D13">
        <f>D12/1000000000</f>
        <v>51.936328799999998</v>
      </c>
      <c r="E13" t="s">
        <v>15</v>
      </c>
    </row>
    <row r="14" spans="1:5" x14ac:dyDescent="0.2">
      <c r="D14">
        <f>D13*5.98</f>
        <v>310.57924622400003</v>
      </c>
      <c r="E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Flannery Dolan</dc:creator>
  <cp:lastModifiedBy>Flannery Dolan</cp:lastModifiedBy>
  <dcterms:created xsi:type="dcterms:W3CDTF">2025-07-18T19:24:20Z</dcterms:created>
  <dcterms:modified xsi:type="dcterms:W3CDTF">2025-08-18T21:32:22Z</dcterms:modified>
</cp:coreProperties>
</file>