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ndus-my.sharepoint.com/personal/fdolan_rand_org/Documents/Documents/Projects/VKRF/"/>
    </mc:Choice>
  </mc:AlternateContent>
  <xr:revisionPtr revIDLastSave="0" documentId="8_{14473B0B-AB52-9E45-B82E-B76F1B687C31}" xr6:coauthVersionLast="47" xr6:coauthVersionMax="47" xr10:uidLastSave="{00000000-0000-0000-0000-000000000000}"/>
  <bookViews>
    <workbookView xWindow="15780" yWindow="3280" windowWidth="26840" windowHeight="15940" xr2:uid="{DA21F839-FEE5-EC40-B834-10D383300E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17" i="1"/>
  <c r="D16" i="1"/>
  <c r="C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<sst xmlns="http://schemas.openxmlformats.org/spreadsheetml/2006/main" count="20" uniqueCount="20">
  <si>
    <t>Region</t>
  </si>
  <si>
    <t>Brazil</t>
  </si>
  <si>
    <t>Average Profit of Conserved Land</t>
  </si>
  <si>
    <t>Area Conserved Land</t>
  </si>
  <si>
    <t>Cost</t>
  </si>
  <si>
    <t>Africa_Western</t>
  </si>
  <si>
    <t>Russia</t>
  </si>
  <si>
    <t>South America_Southern</t>
  </si>
  <si>
    <t>Canada</t>
  </si>
  <si>
    <t>South America_Northern</t>
  </si>
  <si>
    <t>USA</t>
  </si>
  <si>
    <t>Indonesia</t>
  </si>
  <si>
    <t>Africa Southern</t>
  </si>
  <si>
    <t>China</t>
  </si>
  <si>
    <t>Africa_Eastern</t>
  </si>
  <si>
    <t>Colombia</t>
  </si>
  <si>
    <t>Australia_NZ</t>
  </si>
  <si>
    <t>Southeast Asia</t>
  </si>
  <si>
    <t>Billions 1975$</t>
  </si>
  <si>
    <t>Billions 2025$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</si>
</sst>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A9099-FF05-6345-927F-90E683D836F7}">
  <dimension ref="A1:E18"/>
  <sheetViews>
    <sheetView tabSelected="1" workbookViewId="0">
      <selection activeCell="E19" sqref="E19"/>
    </sheetView>
  </sheetViews>
  <sheetFormatPr baseColWidth="10" defaultRowHeight="16" x14ac:dyDescent="0.2"/>
  <cols>
    <col min="2" max="2" width="27.6640625" bestFit="1" customWidth="1"/>
    <col min="3" max="3" width="18.1640625" bestFit="1" customWidth="1"/>
    <col min="4" max="4" width="12.1640625" bestFit="1" customWidth="1"/>
  </cols>
  <sheetData>
    <row r="1" spans="1:4" x14ac:dyDescent="0.2">
      <c r="A1" t="s">
        <v>0</v>
      </c>
      <c r="B1" t="s">
        <v>2</v>
      </c>
      <c r="C1" t="s">
        <v>3</v>
      </c>
      <c r="D1" t="s">
        <v>4</v>
      </c>
    </row>
    <row r="2" spans="1:4" x14ac:dyDescent="0.2">
      <c r="A2" t="s">
        <v>1</v>
      </c>
      <c r="B2">
        <v>3358296</v>
      </c>
      <c r="C2">
        <v>3250</v>
      </c>
      <c r="D2">
        <f>B2*C2</f>
        <v>10914462000</v>
      </c>
    </row>
    <row r="3" spans="1:4" x14ac:dyDescent="0.2">
      <c r="A3" t="s">
        <v>5</v>
      </c>
      <c r="B3">
        <v>1065357</v>
      </c>
      <c r="C3">
        <v>3500</v>
      </c>
      <c r="D3">
        <f t="shared" ref="D3:D15" si="0">B3*C3</f>
        <v>3728749500</v>
      </c>
    </row>
    <row r="4" spans="1:4" x14ac:dyDescent="0.2">
      <c r="A4" t="s">
        <v>6</v>
      </c>
      <c r="B4">
        <v>6651580</v>
      </c>
      <c r="C4">
        <v>2500</v>
      </c>
      <c r="D4">
        <f t="shared" si="0"/>
        <v>16628950000</v>
      </c>
    </row>
    <row r="5" spans="1:4" x14ac:dyDescent="0.2">
      <c r="A5" t="s">
        <v>7</v>
      </c>
      <c r="B5">
        <v>5423742</v>
      </c>
      <c r="C5">
        <v>1500</v>
      </c>
      <c r="D5">
        <f t="shared" si="0"/>
        <v>8135613000</v>
      </c>
    </row>
    <row r="6" spans="1:4" x14ac:dyDescent="0.2">
      <c r="A6" t="s">
        <v>8</v>
      </c>
      <c r="B6">
        <v>2514581</v>
      </c>
      <c r="C6">
        <v>900</v>
      </c>
      <c r="D6">
        <f t="shared" si="0"/>
        <v>2263122900</v>
      </c>
    </row>
    <row r="7" spans="1:4" x14ac:dyDescent="0.2">
      <c r="A7" t="s">
        <v>9</v>
      </c>
      <c r="B7">
        <v>10531898</v>
      </c>
      <c r="C7">
        <v>400</v>
      </c>
      <c r="D7">
        <f t="shared" si="0"/>
        <v>4212759200</v>
      </c>
    </row>
    <row r="8" spans="1:4" x14ac:dyDescent="0.2">
      <c r="A8" t="s">
        <v>10</v>
      </c>
      <c r="B8">
        <v>10430257</v>
      </c>
      <c r="C8">
        <v>500</v>
      </c>
      <c r="D8">
        <f t="shared" si="0"/>
        <v>5215128500</v>
      </c>
    </row>
    <row r="9" spans="1:4" x14ac:dyDescent="0.2">
      <c r="A9" t="s">
        <v>11</v>
      </c>
      <c r="B9">
        <v>18005394</v>
      </c>
      <c r="C9">
        <v>500</v>
      </c>
      <c r="D9">
        <f t="shared" si="0"/>
        <v>9002697000</v>
      </c>
    </row>
    <row r="10" spans="1:4" x14ac:dyDescent="0.2">
      <c r="A10" t="s">
        <v>12</v>
      </c>
      <c r="B10">
        <v>2304966</v>
      </c>
      <c r="C10">
        <v>1000</v>
      </c>
      <c r="D10">
        <f t="shared" si="0"/>
        <v>2304966000</v>
      </c>
    </row>
    <row r="11" spans="1:4" x14ac:dyDescent="0.2">
      <c r="A11" t="s">
        <v>13</v>
      </c>
      <c r="B11">
        <v>16199000</v>
      </c>
      <c r="C11">
        <v>400</v>
      </c>
      <c r="D11">
        <f t="shared" si="0"/>
        <v>6479600000</v>
      </c>
    </row>
    <row r="12" spans="1:4" x14ac:dyDescent="0.2">
      <c r="A12" t="s">
        <v>14</v>
      </c>
      <c r="B12">
        <v>1789126</v>
      </c>
      <c r="C12">
        <v>2000</v>
      </c>
      <c r="D12">
        <f t="shared" si="0"/>
        <v>3578252000</v>
      </c>
    </row>
    <row r="13" spans="1:4" x14ac:dyDescent="0.2">
      <c r="A13" t="s">
        <v>15</v>
      </c>
      <c r="B13">
        <v>5423742</v>
      </c>
      <c r="C13">
        <v>250</v>
      </c>
      <c r="D13">
        <f t="shared" si="0"/>
        <v>1355935500</v>
      </c>
    </row>
    <row r="14" spans="1:4" x14ac:dyDescent="0.2">
      <c r="A14" t="s">
        <v>16</v>
      </c>
      <c r="B14">
        <v>3754620</v>
      </c>
      <c r="C14">
        <v>500</v>
      </c>
      <c r="D14">
        <f t="shared" si="0"/>
        <v>1877310000</v>
      </c>
    </row>
    <row r="15" spans="1:4" x14ac:dyDescent="0.2">
      <c r="A15" t="s">
        <v>17</v>
      </c>
      <c r="B15">
        <v>7295440</v>
      </c>
      <c r="C15">
        <v>300</v>
      </c>
      <c r="D15">
        <f t="shared" si="0"/>
        <v>2188632000</v>
      </c>
    </row>
    <row r="16" spans="1:4" x14ac:dyDescent="0.2">
      <c r="C16">
        <f>SUM(C2:C15)</f>
        <v>17500</v>
      </c>
      <c r="D16">
        <f>SUM(D2:D15)</f>
        <v>77886177600</v>
      </c>
    </row>
    <row r="17" spans="4:5" x14ac:dyDescent="0.2">
      <c r="D17">
        <f>D16/1000000000</f>
        <v>77.886177599999996</v>
      </c>
      <c r="E17" t="s">
        <v>18</v>
      </c>
    </row>
    <row r="18" spans="4:5" x14ac:dyDescent="0.2">
      <c r="D18">
        <f>D17*5.98</f>
        <v>465.75934204800001</v>
      </c>
      <c r="E1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Flannery Dolan</dc:creator>
  <cp:lastModifiedBy>Flannery Dolan</cp:lastModifiedBy>
  <dcterms:created xsi:type="dcterms:W3CDTF">2025-08-18T21:17:08Z</dcterms:created>
  <dcterms:modified xsi:type="dcterms:W3CDTF">2025-08-18T21:34:18Z</dcterms:modified>
</cp:coreProperties>
</file>