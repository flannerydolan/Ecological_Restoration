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dolan_rand_org/Documents/Documents/Projects/VKRF/"/>
    </mc:Choice>
  </mc:AlternateContent>
  <xr:revisionPtr revIDLastSave="181" documentId="8_{61B80D30-F8DE-DA4D-A443-B3FB8757A801}" xr6:coauthVersionLast="47" xr6:coauthVersionMax="47" xr10:uidLastSave="{C0E6FCD6-2CDC-7641-9950-CCAC98F94A23}"/>
  <bookViews>
    <workbookView xWindow="3380" yWindow="760" windowWidth="34120" windowHeight="20080" xr2:uid="{B8B6DF4A-3AC0-FA40-AAD3-0A4CDA500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9" i="1" l="1"/>
  <c r="AB4" i="1"/>
  <c r="AB5" i="1"/>
  <c r="AB6" i="1"/>
  <c r="AC6" i="1" s="1"/>
  <c r="AB7" i="1"/>
  <c r="AC7" i="1" s="1"/>
  <c r="AB8" i="1"/>
  <c r="AC8" i="1" s="1"/>
  <c r="AB9" i="1"/>
  <c r="AB10" i="1"/>
  <c r="AB11" i="1"/>
  <c r="AC11" i="1" s="1"/>
  <c r="AB12" i="1"/>
  <c r="AC12" i="1" s="1"/>
  <c r="AB13" i="1"/>
  <c r="AC13" i="1" s="1"/>
  <c r="AB14" i="1"/>
  <c r="AB15" i="1"/>
  <c r="AB16" i="1"/>
  <c r="AC16" i="1" s="1"/>
  <c r="AB17" i="1"/>
  <c r="AC17" i="1" s="1"/>
  <c r="AB18" i="1"/>
  <c r="AC18" i="1" s="1"/>
  <c r="AB19" i="1"/>
  <c r="AB20" i="1"/>
  <c r="AB21" i="1"/>
  <c r="AC21" i="1" s="1"/>
  <c r="AB22" i="1"/>
  <c r="AC22" i="1" s="1"/>
  <c r="AB23" i="1"/>
  <c r="AC23" i="1" s="1"/>
  <c r="AB24" i="1"/>
  <c r="AB25" i="1"/>
  <c r="AB26" i="1"/>
  <c r="AC26" i="1" s="1"/>
  <c r="AB27" i="1"/>
  <c r="AC27" i="1" s="1"/>
  <c r="AB28" i="1"/>
  <c r="AC28" i="1" s="1"/>
  <c r="AB29" i="1"/>
  <c r="AB30" i="1"/>
  <c r="AB31" i="1"/>
  <c r="AC31" i="1" s="1"/>
  <c r="AB32" i="1"/>
  <c r="AC32" i="1" s="1"/>
  <c r="AB33" i="1"/>
  <c r="AC33" i="1" s="1"/>
  <c r="AB34" i="1"/>
  <c r="AB35" i="1"/>
  <c r="AB36" i="1"/>
  <c r="AC36" i="1" s="1"/>
  <c r="AB37" i="1"/>
  <c r="AC37" i="1" s="1"/>
  <c r="AB38" i="1"/>
  <c r="AC38" i="1" s="1"/>
  <c r="AB39" i="1"/>
  <c r="AB40" i="1"/>
  <c r="AB41" i="1"/>
  <c r="AC41" i="1" s="1"/>
  <c r="AB42" i="1"/>
  <c r="AC42" i="1" s="1"/>
  <c r="AB43" i="1"/>
  <c r="AC43" i="1" s="1"/>
  <c r="AB44" i="1"/>
  <c r="AB45" i="1"/>
  <c r="AB46" i="1"/>
  <c r="AC46" i="1" s="1"/>
  <c r="AB47" i="1"/>
  <c r="AC47" i="1" s="1"/>
  <c r="AB48" i="1"/>
  <c r="AC48" i="1" s="1"/>
  <c r="AB49" i="1"/>
  <c r="AB50" i="1"/>
  <c r="AB51" i="1"/>
  <c r="AC51" i="1" s="1"/>
  <c r="AB52" i="1"/>
  <c r="AC52" i="1" s="1"/>
  <c r="AB53" i="1"/>
  <c r="AC53" i="1" s="1"/>
  <c r="AB54" i="1"/>
  <c r="AB55" i="1"/>
  <c r="AB56" i="1"/>
  <c r="AC56" i="1" s="1"/>
  <c r="AB57" i="1"/>
  <c r="AC57" i="1" s="1"/>
  <c r="AB58" i="1"/>
  <c r="AC58" i="1" s="1"/>
  <c r="AB59" i="1"/>
  <c r="AB60" i="1"/>
  <c r="AB61" i="1"/>
  <c r="AC61" i="1" s="1"/>
  <c r="AB62" i="1"/>
  <c r="AC62" i="1" s="1"/>
  <c r="AB63" i="1"/>
  <c r="AC63" i="1" s="1"/>
  <c r="AB64" i="1"/>
  <c r="AB65" i="1"/>
  <c r="AB66" i="1"/>
  <c r="AC66" i="1" s="1"/>
  <c r="AB67" i="1"/>
  <c r="AC67" i="1" s="1"/>
  <c r="AB68" i="1"/>
  <c r="AC68" i="1" s="1"/>
  <c r="AB69" i="1"/>
  <c r="AB70" i="1"/>
  <c r="AB71" i="1"/>
  <c r="AC71" i="1" s="1"/>
  <c r="AB72" i="1"/>
  <c r="AC72" i="1" s="1"/>
  <c r="AB73" i="1"/>
  <c r="AC73" i="1" s="1"/>
  <c r="AB74" i="1"/>
  <c r="AB75" i="1"/>
  <c r="AB76" i="1"/>
  <c r="AC76" i="1" s="1"/>
  <c r="AB77" i="1"/>
  <c r="AC77" i="1" s="1"/>
  <c r="AB78" i="1"/>
  <c r="AC78" i="1" s="1"/>
  <c r="AB3" i="1"/>
  <c r="AC3" i="1" s="1"/>
  <c r="AW4" i="1"/>
  <c r="AW5" i="1"/>
  <c r="AX5" i="1" s="1"/>
  <c r="AW6" i="1"/>
  <c r="AX6" i="1" s="1"/>
  <c r="AW7" i="1"/>
  <c r="AX7" i="1" s="1"/>
  <c r="AW8" i="1"/>
  <c r="AW9" i="1"/>
  <c r="AX9" i="1" s="1"/>
  <c r="AW10" i="1"/>
  <c r="AX10" i="1" s="1"/>
  <c r="AW11" i="1"/>
  <c r="AX11" i="1" s="1"/>
  <c r="AW12" i="1"/>
  <c r="AW13" i="1"/>
  <c r="AW14" i="1"/>
  <c r="AX14" i="1" s="1"/>
  <c r="AW15" i="1"/>
  <c r="AX15" i="1" s="1"/>
  <c r="AW16" i="1"/>
  <c r="AX16" i="1" s="1"/>
  <c r="AW17" i="1"/>
  <c r="AX17" i="1" s="1"/>
  <c r="AW18" i="1"/>
  <c r="AX18" i="1" s="1"/>
  <c r="AW19" i="1"/>
  <c r="AW20" i="1"/>
  <c r="AX20" i="1" s="1"/>
  <c r="AW21" i="1"/>
  <c r="AW22" i="1"/>
  <c r="AW23" i="1"/>
  <c r="AW24" i="1"/>
  <c r="AW25" i="1"/>
  <c r="AX25" i="1" s="1"/>
  <c r="AW26" i="1"/>
  <c r="AX26" i="1" s="1"/>
  <c r="AW27" i="1"/>
  <c r="AX27" i="1" s="1"/>
  <c r="AW28" i="1"/>
  <c r="AW29" i="1"/>
  <c r="AW30" i="1"/>
  <c r="AX30" i="1" s="1"/>
  <c r="AW31" i="1"/>
  <c r="AW32" i="1"/>
  <c r="AW33" i="1"/>
  <c r="AW34" i="1"/>
  <c r="AX34" i="1" s="1"/>
  <c r="AW35" i="1"/>
  <c r="AX35" i="1" s="1"/>
  <c r="AW36" i="1"/>
  <c r="AW37" i="1"/>
  <c r="AX37" i="1" s="1"/>
  <c r="AW38" i="1"/>
  <c r="AX38" i="1" s="1"/>
  <c r="AW39" i="1"/>
  <c r="AW40" i="1"/>
  <c r="AX40" i="1" s="1"/>
  <c r="AW41" i="1"/>
  <c r="AW42" i="1"/>
  <c r="AW43" i="1"/>
  <c r="AW44" i="1"/>
  <c r="AW45" i="1"/>
  <c r="AX45" i="1" s="1"/>
  <c r="AW46" i="1"/>
  <c r="AX46" i="1" s="1"/>
  <c r="AW47" i="1"/>
  <c r="AX47" i="1" s="1"/>
  <c r="AW48" i="1"/>
  <c r="AX48" i="1" s="1"/>
  <c r="AW49" i="1"/>
  <c r="AW50" i="1"/>
  <c r="AX50" i="1" s="1"/>
  <c r="AW51" i="1"/>
  <c r="AW52" i="1"/>
  <c r="AW53" i="1"/>
  <c r="AW54" i="1"/>
  <c r="AW55" i="1"/>
  <c r="AX55" i="1" s="1"/>
  <c r="AW56" i="1"/>
  <c r="AX56" i="1" s="1"/>
  <c r="AW57" i="1"/>
  <c r="AX57" i="1" s="1"/>
  <c r="AW58" i="1"/>
  <c r="AX58" i="1" s="1"/>
  <c r="AW59" i="1"/>
  <c r="AW60" i="1"/>
  <c r="AX60" i="1" s="1"/>
  <c r="AW61" i="1"/>
  <c r="AW62" i="1"/>
  <c r="AW63" i="1"/>
  <c r="AW64" i="1"/>
  <c r="AW65" i="1"/>
  <c r="AX65" i="1" s="1"/>
  <c r="AW66" i="1"/>
  <c r="AX66" i="1" s="1"/>
  <c r="AW67" i="1"/>
  <c r="AX67" i="1" s="1"/>
  <c r="AW68" i="1"/>
  <c r="AW69" i="1"/>
  <c r="AX69" i="1" s="1"/>
  <c r="AW70" i="1"/>
  <c r="AX70" i="1" s="1"/>
  <c r="AW71" i="1"/>
  <c r="AW72" i="1"/>
  <c r="AW73" i="1"/>
  <c r="AW74" i="1"/>
  <c r="AX74" i="1" s="1"/>
  <c r="AW75" i="1"/>
  <c r="AX75" i="1" s="1"/>
  <c r="AW76" i="1"/>
  <c r="AW77" i="1"/>
  <c r="AX77" i="1" s="1"/>
  <c r="AW78" i="1"/>
  <c r="AX78" i="1" s="1"/>
  <c r="AW3" i="1"/>
  <c r="AX3" i="1" s="1"/>
  <c r="AP4" i="1"/>
  <c r="AQ4" i="1" s="1"/>
  <c r="AP5" i="1"/>
  <c r="AQ5" i="1" s="1"/>
  <c r="AP6" i="1"/>
  <c r="AQ6" i="1" s="1"/>
  <c r="AP7" i="1"/>
  <c r="AQ7" i="1" s="1"/>
  <c r="AP8" i="1"/>
  <c r="AP9" i="1"/>
  <c r="AP10" i="1"/>
  <c r="AP11" i="1"/>
  <c r="AP12" i="1"/>
  <c r="AQ12" i="1" s="1"/>
  <c r="AP13" i="1"/>
  <c r="AQ13" i="1" s="1"/>
  <c r="AP14" i="1"/>
  <c r="AQ14" i="1" s="1"/>
  <c r="AP15" i="1"/>
  <c r="AQ15" i="1" s="1"/>
  <c r="AP16" i="1"/>
  <c r="AQ16" i="1" s="1"/>
  <c r="AP17" i="1"/>
  <c r="AQ17" i="1" s="1"/>
  <c r="AP18" i="1"/>
  <c r="AQ18" i="1" s="1"/>
  <c r="AP19" i="1"/>
  <c r="AP20" i="1"/>
  <c r="AP21" i="1"/>
  <c r="AP22" i="1"/>
  <c r="AQ22" i="1" s="1"/>
  <c r="AP23" i="1"/>
  <c r="AQ23" i="1" s="1"/>
  <c r="AP24" i="1"/>
  <c r="AQ24" i="1" s="1"/>
  <c r="AP25" i="1"/>
  <c r="AQ25" i="1" s="1"/>
  <c r="AP26" i="1"/>
  <c r="AQ26" i="1" s="1"/>
  <c r="AP27" i="1"/>
  <c r="AQ27" i="1" s="1"/>
  <c r="AP28" i="1"/>
  <c r="AP29" i="1"/>
  <c r="AP30" i="1"/>
  <c r="AP31" i="1"/>
  <c r="AP32" i="1"/>
  <c r="AQ32" i="1" s="1"/>
  <c r="AP33" i="1"/>
  <c r="AQ33" i="1" s="1"/>
  <c r="AP34" i="1"/>
  <c r="AQ34" i="1" s="1"/>
  <c r="AP35" i="1"/>
  <c r="AQ35" i="1" s="1"/>
  <c r="AP36" i="1"/>
  <c r="AQ36" i="1" s="1"/>
  <c r="AP37" i="1"/>
  <c r="AQ37" i="1" s="1"/>
  <c r="AP38" i="1"/>
  <c r="AQ38" i="1" s="1"/>
  <c r="AP39" i="1"/>
  <c r="AP40" i="1"/>
  <c r="AP41" i="1"/>
  <c r="AP42" i="1"/>
  <c r="AQ42" i="1" s="1"/>
  <c r="AP43" i="1"/>
  <c r="AQ43" i="1" s="1"/>
  <c r="AP44" i="1"/>
  <c r="AQ44" i="1" s="1"/>
  <c r="AP45" i="1"/>
  <c r="AQ45" i="1" s="1"/>
  <c r="AP46" i="1"/>
  <c r="AQ46" i="1" s="1"/>
  <c r="AP47" i="1"/>
  <c r="AQ47" i="1" s="1"/>
  <c r="AP48" i="1"/>
  <c r="AQ48" i="1" s="1"/>
  <c r="AP49" i="1"/>
  <c r="AP50" i="1"/>
  <c r="AP51" i="1"/>
  <c r="AP52" i="1"/>
  <c r="AQ52" i="1" s="1"/>
  <c r="AP53" i="1"/>
  <c r="AQ53" i="1" s="1"/>
  <c r="AP54" i="1"/>
  <c r="AQ54" i="1" s="1"/>
  <c r="AP55" i="1"/>
  <c r="AQ55" i="1" s="1"/>
  <c r="AP56" i="1"/>
  <c r="AQ56" i="1" s="1"/>
  <c r="AP57" i="1"/>
  <c r="AQ57" i="1" s="1"/>
  <c r="AP58" i="1"/>
  <c r="AQ58" i="1" s="1"/>
  <c r="AP59" i="1"/>
  <c r="AP60" i="1"/>
  <c r="AP61" i="1"/>
  <c r="AP62" i="1"/>
  <c r="AQ62" i="1" s="1"/>
  <c r="AP63" i="1"/>
  <c r="AQ63" i="1" s="1"/>
  <c r="AP64" i="1"/>
  <c r="AQ64" i="1" s="1"/>
  <c r="AP65" i="1"/>
  <c r="AQ65" i="1" s="1"/>
  <c r="AP66" i="1"/>
  <c r="AQ66" i="1" s="1"/>
  <c r="AP67" i="1"/>
  <c r="AQ67" i="1" s="1"/>
  <c r="AP68" i="1"/>
  <c r="AP69" i="1"/>
  <c r="AP70" i="1"/>
  <c r="AP71" i="1"/>
  <c r="AP72" i="1"/>
  <c r="AQ72" i="1" s="1"/>
  <c r="AP73" i="1"/>
  <c r="AQ73" i="1" s="1"/>
  <c r="AP74" i="1"/>
  <c r="AQ74" i="1" s="1"/>
  <c r="AP75" i="1"/>
  <c r="AQ75" i="1" s="1"/>
  <c r="AP76" i="1"/>
  <c r="AQ76" i="1" s="1"/>
  <c r="AP77" i="1"/>
  <c r="AQ77" i="1" s="1"/>
  <c r="AP78" i="1"/>
  <c r="AQ78" i="1" s="1"/>
  <c r="AP3" i="1"/>
  <c r="AQ3" i="1" s="1"/>
  <c r="AI4" i="1"/>
  <c r="AJ4" i="1" s="1"/>
  <c r="AI5" i="1"/>
  <c r="AI6" i="1"/>
  <c r="AJ6" i="1" s="1"/>
  <c r="AI7" i="1"/>
  <c r="AJ7" i="1" s="1"/>
  <c r="AI8" i="1"/>
  <c r="AJ8" i="1" s="1"/>
  <c r="AI9" i="1"/>
  <c r="AJ9" i="1" s="1"/>
  <c r="AI10" i="1"/>
  <c r="AI11" i="1"/>
  <c r="AI12" i="1"/>
  <c r="AI13" i="1"/>
  <c r="AJ13" i="1" s="1"/>
  <c r="AI14" i="1"/>
  <c r="AJ14" i="1" s="1"/>
  <c r="AI15" i="1"/>
  <c r="AJ15" i="1" s="1"/>
  <c r="AI16" i="1"/>
  <c r="AJ16" i="1" s="1"/>
  <c r="AI17" i="1"/>
  <c r="AJ17" i="1" s="1"/>
  <c r="AI18" i="1"/>
  <c r="AJ18" i="1" s="1"/>
  <c r="AI19" i="1"/>
  <c r="AJ19" i="1" s="1"/>
  <c r="AI20" i="1"/>
  <c r="AI21" i="1"/>
  <c r="AI22" i="1"/>
  <c r="AI23" i="1"/>
  <c r="AJ23" i="1" s="1"/>
  <c r="AI24" i="1"/>
  <c r="AJ24" i="1" s="1"/>
  <c r="AI25" i="1"/>
  <c r="AJ25" i="1" s="1"/>
  <c r="AI26" i="1"/>
  <c r="AJ26" i="1" s="1"/>
  <c r="AI27" i="1"/>
  <c r="AJ27" i="1" s="1"/>
  <c r="AI28" i="1"/>
  <c r="AJ28" i="1" s="1"/>
  <c r="AI29" i="1"/>
  <c r="AI30" i="1"/>
  <c r="AI31" i="1"/>
  <c r="AI32" i="1"/>
  <c r="AI33" i="1"/>
  <c r="AJ33" i="1" s="1"/>
  <c r="AI34" i="1"/>
  <c r="AJ34" i="1" s="1"/>
  <c r="AI35" i="1"/>
  <c r="AI36" i="1"/>
  <c r="AJ36" i="1" s="1"/>
  <c r="AI37" i="1"/>
  <c r="AJ37" i="1" s="1"/>
  <c r="AI38" i="1"/>
  <c r="AJ38" i="1" s="1"/>
  <c r="AI39" i="1"/>
  <c r="AJ39" i="1" s="1"/>
  <c r="AI40" i="1"/>
  <c r="AI41" i="1"/>
  <c r="AI42" i="1"/>
  <c r="AI43" i="1"/>
  <c r="AJ43" i="1" s="1"/>
  <c r="AI44" i="1"/>
  <c r="AJ44" i="1" s="1"/>
  <c r="AI45" i="1"/>
  <c r="AJ45" i="1" s="1"/>
  <c r="AI46" i="1"/>
  <c r="AJ46" i="1" s="1"/>
  <c r="AI47" i="1"/>
  <c r="AJ47" i="1" s="1"/>
  <c r="AI48" i="1"/>
  <c r="AJ48" i="1" s="1"/>
  <c r="AI49" i="1"/>
  <c r="AJ49" i="1" s="1"/>
  <c r="AI50" i="1"/>
  <c r="AI51" i="1"/>
  <c r="AI52" i="1"/>
  <c r="AI53" i="1"/>
  <c r="AJ53" i="1" s="1"/>
  <c r="AI54" i="1"/>
  <c r="AJ54" i="1" s="1"/>
  <c r="AI55" i="1"/>
  <c r="AJ55" i="1" s="1"/>
  <c r="AI56" i="1"/>
  <c r="AJ56" i="1" s="1"/>
  <c r="AI57" i="1"/>
  <c r="AJ57" i="1" s="1"/>
  <c r="AI58" i="1"/>
  <c r="AJ58" i="1" s="1"/>
  <c r="AI59" i="1"/>
  <c r="AJ59" i="1" s="1"/>
  <c r="AI60" i="1"/>
  <c r="AI61" i="1"/>
  <c r="AI62" i="1"/>
  <c r="AI63" i="1"/>
  <c r="AJ63" i="1" s="1"/>
  <c r="AI64" i="1"/>
  <c r="AJ64" i="1" s="1"/>
  <c r="AI65" i="1"/>
  <c r="AJ65" i="1" s="1"/>
  <c r="AI66" i="1"/>
  <c r="AJ66" i="1" s="1"/>
  <c r="AI67" i="1"/>
  <c r="AJ67" i="1" s="1"/>
  <c r="AI68" i="1"/>
  <c r="AJ68" i="1" s="1"/>
  <c r="AI69" i="1"/>
  <c r="AJ69" i="1" s="1"/>
  <c r="AI70" i="1"/>
  <c r="AI71" i="1"/>
  <c r="AI72" i="1"/>
  <c r="AI73" i="1"/>
  <c r="AJ73" i="1" s="1"/>
  <c r="AI74" i="1"/>
  <c r="AJ74" i="1" s="1"/>
  <c r="AI75" i="1"/>
  <c r="AJ75" i="1" s="1"/>
  <c r="AI76" i="1"/>
  <c r="AJ76" i="1" s="1"/>
  <c r="AI77" i="1"/>
  <c r="AJ77" i="1" s="1"/>
  <c r="AI78" i="1"/>
  <c r="AJ78" i="1" s="1"/>
  <c r="AI3" i="1"/>
  <c r="AJ3" i="1" s="1"/>
  <c r="U4" i="1"/>
  <c r="V4" i="1" s="1"/>
  <c r="U5" i="1"/>
  <c r="V5" i="1" s="1"/>
  <c r="U6" i="1"/>
  <c r="U7" i="1"/>
  <c r="V7" i="1" s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U16" i="1"/>
  <c r="U17" i="1"/>
  <c r="V17" i="1" s="1"/>
  <c r="U18" i="1"/>
  <c r="U19" i="1"/>
  <c r="V19" i="1" s="1"/>
  <c r="U20" i="1"/>
  <c r="V20" i="1" s="1"/>
  <c r="U21" i="1"/>
  <c r="V21" i="1" s="1"/>
  <c r="U22" i="1"/>
  <c r="V22" i="1" s="1"/>
  <c r="U23" i="1"/>
  <c r="V23" i="1" s="1"/>
  <c r="U24" i="1"/>
  <c r="V24" i="1" s="1"/>
  <c r="U25" i="1"/>
  <c r="V25" i="1" s="1"/>
  <c r="U26" i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V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U45" i="1"/>
  <c r="V45" i="1" s="1"/>
  <c r="U46" i="1"/>
  <c r="V46" i="1" s="1"/>
  <c r="U47" i="1"/>
  <c r="V47" i="1" s="1"/>
  <c r="U48" i="1"/>
  <c r="V48" i="1" s="1"/>
  <c r="U49" i="1"/>
  <c r="V49" i="1" s="1"/>
  <c r="U50" i="1"/>
  <c r="V50" i="1" s="1"/>
  <c r="U51" i="1"/>
  <c r="V51" i="1" s="1"/>
  <c r="U52" i="1"/>
  <c r="V52" i="1" s="1"/>
  <c r="U53" i="1"/>
  <c r="V53" i="1" s="1"/>
  <c r="U54" i="1"/>
  <c r="V54" i="1" s="1"/>
  <c r="U55" i="1"/>
  <c r="V55" i="1" s="1"/>
  <c r="U56" i="1"/>
  <c r="V56" i="1" s="1"/>
  <c r="U57" i="1"/>
  <c r="V57" i="1" s="1"/>
  <c r="U58" i="1"/>
  <c r="V58" i="1" s="1"/>
  <c r="U59" i="1"/>
  <c r="V59" i="1" s="1"/>
  <c r="U60" i="1"/>
  <c r="V60" i="1" s="1"/>
  <c r="U61" i="1"/>
  <c r="V61" i="1" s="1"/>
  <c r="U62" i="1"/>
  <c r="V62" i="1" s="1"/>
  <c r="U63" i="1"/>
  <c r="V63" i="1" s="1"/>
  <c r="U64" i="1"/>
  <c r="V64" i="1" s="1"/>
  <c r="U65" i="1"/>
  <c r="V65" i="1" s="1"/>
  <c r="U66" i="1"/>
  <c r="U67" i="1"/>
  <c r="V67" i="1" s="1"/>
  <c r="U68" i="1"/>
  <c r="V68" i="1" s="1"/>
  <c r="U69" i="1"/>
  <c r="V69" i="1" s="1"/>
  <c r="U70" i="1"/>
  <c r="V70" i="1" s="1"/>
  <c r="U71" i="1"/>
  <c r="V71" i="1" s="1"/>
  <c r="U72" i="1"/>
  <c r="V72" i="1" s="1"/>
  <c r="U73" i="1"/>
  <c r="V73" i="1" s="1"/>
  <c r="U74" i="1"/>
  <c r="V74" i="1" s="1"/>
  <c r="U75" i="1"/>
  <c r="V75" i="1" s="1"/>
  <c r="U76" i="1"/>
  <c r="U77" i="1"/>
  <c r="V77" i="1" s="1"/>
  <c r="U78" i="1"/>
  <c r="V78" i="1" s="1"/>
  <c r="U3" i="1"/>
  <c r="V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3" i="1"/>
  <c r="O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G25" i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G75" i="1"/>
  <c r="G76" i="1"/>
  <c r="H76" i="1" s="1"/>
  <c r="G77" i="1"/>
  <c r="H77" i="1" s="1"/>
  <c r="G78" i="1"/>
  <c r="H78" i="1" s="1"/>
  <c r="G3" i="1"/>
  <c r="H3" i="1" s="1"/>
  <c r="AX36" i="1"/>
  <c r="AX76" i="1"/>
  <c r="AX8" i="1"/>
  <c r="AX28" i="1"/>
  <c r="AX68" i="1"/>
  <c r="AQ28" i="1"/>
  <c r="AQ29" i="1"/>
  <c r="AQ30" i="1"/>
  <c r="AQ59" i="1"/>
  <c r="AQ60" i="1"/>
  <c r="AQ68" i="1"/>
  <c r="AJ35" i="1"/>
  <c r="V6" i="1"/>
  <c r="V16" i="1"/>
  <c r="V18" i="1"/>
  <c r="V26" i="1"/>
  <c r="V66" i="1"/>
  <c r="V76" i="1"/>
  <c r="O64" i="1"/>
  <c r="H15" i="1"/>
  <c r="H24" i="1"/>
  <c r="H25" i="1"/>
  <c r="H34" i="1"/>
  <c r="H74" i="1"/>
  <c r="H75" i="1"/>
  <c r="AC39" i="1" l="1"/>
  <c r="AC70" i="1"/>
  <c r="AC10" i="1"/>
  <c r="AC59" i="1"/>
  <c r="AC19" i="1"/>
  <c r="AC50" i="1"/>
  <c r="AC40" i="1"/>
  <c r="AC30" i="1"/>
  <c r="AC20" i="1"/>
  <c r="AC69" i="1"/>
  <c r="AC9" i="1"/>
  <c r="AC75" i="1"/>
  <c r="AC65" i="1"/>
  <c r="AC55" i="1"/>
  <c r="AC45" i="1"/>
  <c r="AC35" i="1"/>
  <c r="AC25" i="1"/>
  <c r="AC15" i="1"/>
  <c r="AC5" i="1"/>
  <c r="AC60" i="1"/>
  <c r="AC49" i="1"/>
  <c r="AC29" i="1"/>
  <c r="AC74" i="1"/>
  <c r="AC64" i="1"/>
  <c r="AC54" i="1"/>
  <c r="AC44" i="1"/>
  <c r="AC34" i="1"/>
  <c r="AC24" i="1"/>
  <c r="AC14" i="1"/>
  <c r="AC4" i="1"/>
  <c r="AD48" i="1" s="1"/>
  <c r="AD3" i="1"/>
  <c r="AX49" i="1"/>
  <c r="AX29" i="1"/>
  <c r="AX64" i="1"/>
  <c r="AX54" i="1"/>
  <c r="AX44" i="1"/>
  <c r="AX24" i="1"/>
  <c r="AX4" i="1"/>
  <c r="AX63" i="1"/>
  <c r="AX59" i="1"/>
  <c r="AX39" i="1"/>
  <c r="AX19" i="1"/>
  <c r="AX33" i="1"/>
  <c r="AX12" i="1"/>
  <c r="AX73" i="1"/>
  <c r="AX53" i="1"/>
  <c r="AX43" i="1"/>
  <c r="AX23" i="1"/>
  <c r="AX13" i="1"/>
  <c r="AX72" i="1"/>
  <c r="AX62" i="1"/>
  <c r="AX52" i="1"/>
  <c r="AX42" i="1"/>
  <c r="AX32" i="1"/>
  <c r="AX22" i="1"/>
  <c r="AX71" i="1"/>
  <c r="AX61" i="1"/>
  <c r="AX51" i="1"/>
  <c r="AX41" i="1"/>
  <c r="AX31" i="1"/>
  <c r="AX21" i="1"/>
  <c r="AQ71" i="1"/>
  <c r="AQ61" i="1"/>
  <c r="AQ51" i="1"/>
  <c r="AQ41" i="1"/>
  <c r="AQ31" i="1"/>
  <c r="AQ21" i="1"/>
  <c r="AQ11" i="1"/>
  <c r="AQ70" i="1"/>
  <c r="AQ50" i="1"/>
  <c r="AQ40" i="1"/>
  <c r="AQ20" i="1"/>
  <c r="AQ10" i="1"/>
  <c r="AQ69" i="1"/>
  <c r="AQ49" i="1"/>
  <c r="AQ39" i="1"/>
  <c r="AQ19" i="1"/>
  <c r="AQ9" i="1"/>
  <c r="AQ8" i="1"/>
  <c r="AJ29" i="1"/>
  <c r="AJ5" i="1"/>
  <c r="AK5" i="1" s="1"/>
  <c r="AJ72" i="1"/>
  <c r="AJ62" i="1"/>
  <c r="AJ52" i="1"/>
  <c r="AJ42" i="1"/>
  <c r="AJ32" i="1"/>
  <c r="AJ22" i="1"/>
  <c r="AJ12" i="1"/>
  <c r="AJ71" i="1"/>
  <c r="AJ61" i="1"/>
  <c r="AJ51" i="1"/>
  <c r="AJ41" i="1"/>
  <c r="AJ31" i="1"/>
  <c r="AJ21" i="1"/>
  <c r="AJ11" i="1"/>
  <c r="AJ70" i="1"/>
  <c r="AJ60" i="1"/>
  <c r="AJ50" i="1"/>
  <c r="AJ40" i="1"/>
  <c r="AJ30" i="1"/>
  <c r="AJ20" i="1"/>
  <c r="AJ10" i="1"/>
  <c r="AY3" i="1"/>
  <c r="AR22" i="1"/>
  <c r="AR20" i="1"/>
  <c r="AR4" i="1"/>
  <c r="AR5" i="1"/>
  <c r="AR6" i="1"/>
  <c r="AR7" i="1"/>
  <c r="AR3" i="1"/>
  <c r="AK4" i="1"/>
  <c r="AK3" i="1"/>
  <c r="AK10" i="1"/>
  <c r="AK7" i="1"/>
  <c r="W4" i="1"/>
  <c r="W53" i="1"/>
  <c r="W19" i="1"/>
  <c r="W63" i="1"/>
  <c r="W14" i="1"/>
  <c r="W13" i="1"/>
  <c r="W12" i="1"/>
  <c r="W73" i="1"/>
  <c r="W33" i="1"/>
  <c r="W72" i="1"/>
  <c r="W62" i="1"/>
  <c r="W52" i="1"/>
  <c r="W42" i="1"/>
  <c r="W32" i="1"/>
  <c r="W22" i="1"/>
  <c r="I65" i="1"/>
  <c r="W71" i="1"/>
  <c r="W61" i="1"/>
  <c r="W51" i="1"/>
  <c r="W41" i="1"/>
  <c r="W31" i="1"/>
  <c r="W21" i="1"/>
  <c r="W11" i="1"/>
  <c r="W70" i="1"/>
  <c r="W40" i="1"/>
  <c r="W10" i="1"/>
  <c r="W9" i="1"/>
  <c r="W78" i="1"/>
  <c r="W68" i="1"/>
  <c r="W58" i="1"/>
  <c r="W48" i="1"/>
  <c r="W38" i="1"/>
  <c r="W28" i="1"/>
  <c r="W18" i="1"/>
  <c r="W8" i="1"/>
  <c r="W23" i="1"/>
  <c r="W60" i="1"/>
  <c r="W50" i="1"/>
  <c r="W30" i="1"/>
  <c r="W20" i="1"/>
  <c r="W3" i="1"/>
  <c r="W69" i="1"/>
  <c r="W59" i="1"/>
  <c r="W49" i="1"/>
  <c r="W39" i="1"/>
  <c r="W29" i="1"/>
  <c r="W77" i="1"/>
  <c r="W67" i="1"/>
  <c r="W57" i="1"/>
  <c r="W47" i="1"/>
  <c r="W37" i="1"/>
  <c r="W27" i="1"/>
  <c r="W17" i="1"/>
  <c r="W7" i="1"/>
  <c r="W76" i="1"/>
  <c r="W66" i="1"/>
  <c r="W56" i="1"/>
  <c r="W46" i="1"/>
  <c r="W36" i="1"/>
  <c r="W26" i="1"/>
  <c r="W16" i="1"/>
  <c r="W6" i="1"/>
  <c r="W43" i="1"/>
  <c r="W75" i="1"/>
  <c r="W65" i="1"/>
  <c r="W55" i="1"/>
  <c r="W45" i="1"/>
  <c r="W35" i="1"/>
  <c r="W25" i="1"/>
  <c r="W15" i="1"/>
  <c r="W5" i="1"/>
  <c r="W74" i="1"/>
  <c r="W64" i="1"/>
  <c r="W54" i="1"/>
  <c r="W44" i="1"/>
  <c r="W34" i="1"/>
  <c r="W24" i="1"/>
  <c r="I75" i="1"/>
  <c r="I6" i="1"/>
  <c r="I16" i="1"/>
  <c r="I26" i="1"/>
  <c r="I36" i="1"/>
  <c r="I46" i="1"/>
  <c r="I56" i="1"/>
  <c r="I66" i="1"/>
  <c r="I76" i="1"/>
  <c r="I41" i="1"/>
  <c r="I52" i="1"/>
  <c r="I23" i="1"/>
  <c r="I33" i="1"/>
  <c r="I53" i="1"/>
  <c r="I73" i="1"/>
  <c r="I14" i="1"/>
  <c r="I7" i="1"/>
  <c r="I17" i="1"/>
  <c r="I27" i="1"/>
  <c r="I37" i="1"/>
  <c r="I47" i="1"/>
  <c r="I57" i="1"/>
  <c r="I67" i="1"/>
  <c r="I77" i="1"/>
  <c r="I8" i="1"/>
  <c r="I18" i="1"/>
  <c r="I28" i="1"/>
  <c r="I38" i="1"/>
  <c r="I48" i="1"/>
  <c r="I58" i="1"/>
  <c r="I68" i="1"/>
  <c r="I78" i="1"/>
  <c r="I40" i="1"/>
  <c r="I60" i="1"/>
  <c r="I21" i="1"/>
  <c r="I61" i="1"/>
  <c r="I22" i="1"/>
  <c r="I42" i="1"/>
  <c r="I72" i="1"/>
  <c r="I13" i="1"/>
  <c r="I43" i="1"/>
  <c r="I63" i="1"/>
  <c r="I4" i="1"/>
  <c r="I34" i="1"/>
  <c r="I54" i="1"/>
  <c r="I74" i="1"/>
  <c r="I15" i="1"/>
  <c r="I9" i="1"/>
  <c r="I19" i="1"/>
  <c r="I29" i="1"/>
  <c r="I39" i="1"/>
  <c r="I49" i="1"/>
  <c r="I59" i="1"/>
  <c r="I69" i="1"/>
  <c r="I3" i="1"/>
  <c r="I10" i="1"/>
  <c r="I20" i="1"/>
  <c r="I30" i="1"/>
  <c r="I50" i="1"/>
  <c r="I70" i="1"/>
  <c r="I11" i="1"/>
  <c r="I31" i="1"/>
  <c r="I51" i="1"/>
  <c r="I71" i="1"/>
  <c r="I12" i="1"/>
  <c r="I32" i="1"/>
  <c r="I62" i="1"/>
  <c r="I24" i="1"/>
  <c r="I44" i="1"/>
  <c r="I64" i="1"/>
  <c r="I5" i="1"/>
  <c r="I25" i="1"/>
  <c r="I45" i="1"/>
  <c r="P4" i="1"/>
  <c r="P14" i="1"/>
  <c r="P24" i="1"/>
  <c r="P34" i="1"/>
  <c r="P44" i="1"/>
  <c r="P54" i="1"/>
  <c r="P64" i="1"/>
  <c r="P74" i="1"/>
  <c r="P16" i="1"/>
  <c r="P29" i="1"/>
  <c r="P20" i="1"/>
  <c r="P41" i="1"/>
  <c r="P42" i="1"/>
  <c r="P72" i="1"/>
  <c r="P5" i="1"/>
  <c r="P15" i="1"/>
  <c r="P25" i="1"/>
  <c r="P35" i="1"/>
  <c r="P45" i="1"/>
  <c r="P55" i="1"/>
  <c r="P65" i="1"/>
  <c r="P75" i="1"/>
  <c r="P6" i="1"/>
  <c r="P26" i="1"/>
  <c r="P36" i="1"/>
  <c r="P46" i="1"/>
  <c r="P56" i="1"/>
  <c r="P66" i="1"/>
  <c r="P76" i="1"/>
  <c r="P19" i="1"/>
  <c r="P49" i="1"/>
  <c r="P59" i="1"/>
  <c r="P3" i="1"/>
  <c r="P40" i="1"/>
  <c r="P60" i="1"/>
  <c r="P31" i="1"/>
  <c r="P61" i="1"/>
  <c r="P71" i="1"/>
  <c r="P32" i="1"/>
  <c r="P52" i="1"/>
  <c r="P33" i="1"/>
  <c r="P50" i="1"/>
  <c r="P7" i="1"/>
  <c r="P17" i="1"/>
  <c r="P27" i="1"/>
  <c r="P37" i="1"/>
  <c r="P47" i="1"/>
  <c r="P57" i="1"/>
  <c r="P67" i="1"/>
  <c r="P77" i="1"/>
  <c r="P18" i="1"/>
  <c r="P28" i="1"/>
  <c r="P38" i="1"/>
  <c r="P48" i="1"/>
  <c r="P58" i="1"/>
  <c r="P68" i="1"/>
  <c r="P78" i="1"/>
  <c r="P39" i="1"/>
  <c r="P69" i="1"/>
  <c r="P30" i="1"/>
  <c r="P70" i="1"/>
  <c r="P21" i="1"/>
  <c r="P51" i="1"/>
  <c r="P22" i="1"/>
  <c r="P62" i="1"/>
  <c r="P23" i="1"/>
  <c r="P43" i="1"/>
  <c r="P53" i="1"/>
  <c r="P63" i="1"/>
  <c r="P73" i="1"/>
  <c r="P8" i="1"/>
  <c r="P9" i="1"/>
  <c r="P10" i="1"/>
  <c r="P11" i="1"/>
  <c r="P12" i="1"/>
  <c r="I55" i="1"/>
  <c r="I35" i="1"/>
  <c r="P13" i="1"/>
  <c r="AK9" i="1" l="1"/>
  <c r="AD10" i="1"/>
  <c r="AD67" i="1"/>
  <c r="AD36" i="1"/>
  <c r="AD25" i="1"/>
  <c r="AD43" i="1"/>
  <c r="AD21" i="1"/>
  <c r="AD33" i="1"/>
  <c r="AD59" i="1"/>
  <c r="AD52" i="1"/>
  <c r="AD26" i="1"/>
  <c r="AD47" i="1"/>
  <c r="AD18" i="1"/>
  <c r="AD13" i="1"/>
  <c r="AD19" i="1"/>
  <c r="AD75" i="1"/>
  <c r="AD57" i="1"/>
  <c r="AD42" i="1"/>
  <c r="AD23" i="1"/>
  <c r="AD6" i="1"/>
  <c r="AD70" i="1"/>
  <c r="AD12" i="1"/>
  <c r="AD9" i="1"/>
  <c r="AD14" i="1"/>
  <c r="AD40" i="1"/>
  <c r="AD15" i="1"/>
  <c r="AD5" i="1"/>
  <c r="AD37" i="1"/>
  <c r="AD22" i="1"/>
  <c r="AD27" i="1"/>
  <c r="AD64" i="1"/>
  <c r="AD60" i="1"/>
  <c r="AD69" i="1"/>
  <c r="AD34" i="1"/>
  <c r="AD71" i="1"/>
  <c r="AD76" i="1"/>
  <c r="AD61" i="1"/>
  <c r="AD78" i="1"/>
  <c r="AD66" i="1"/>
  <c r="AD73" i="1"/>
  <c r="AD51" i="1"/>
  <c r="AD68" i="1"/>
  <c r="AD7" i="1"/>
  <c r="AD56" i="1"/>
  <c r="AD45" i="1"/>
  <c r="AD63" i="1"/>
  <c r="AD72" i="1"/>
  <c r="AD41" i="1"/>
  <c r="AD20" i="1"/>
  <c r="AD38" i="1"/>
  <c r="AD11" i="1"/>
  <c r="AD28" i="1"/>
  <c r="AD16" i="1"/>
  <c r="AD32" i="1"/>
  <c r="AD74" i="1"/>
  <c r="AD8" i="1"/>
  <c r="AD54" i="1"/>
  <c r="AD49" i="1"/>
  <c r="AD17" i="1"/>
  <c r="AD44" i="1"/>
  <c r="AD50" i="1"/>
  <c r="AD39" i="1"/>
  <c r="AD65" i="1"/>
  <c r="AD24" i="1"/>
  <c r="AD29" i="1"/>
  <c r="AD55" i="1"/>
  <c r="AD4" i="1"/>
  <c r="AD30" i="1"/>
  <c r="AD58" i="1"/>
  <c r="AD77" i="1"/>
  <c r="AD46" i="1"/>
  <c r="AD35" i="1"/>
  <c r="AD53" i="1"/>
  <c r="AD62" i="1"/>
  <c r="AD31" i="1"/>
  <c r="AR76" i="1"/>
  <c r="AR32" i="1"/>
  <c r="AK8" i="1"/>
  <c r="AK12" i="1"/>
  <c r="AK6" i="1"/>
  <c r="AR21" i="1"/>
  <c r="AY14" i="1"/>
  <c r="AY6" i="1"/>
  <c r="AY19" i="1"/>
  <c r="AY5" i="1"/>
  <c r="AY72" i="1"/>
  <c r="AY53" i="1"/>
  <c r="AY7" i="1"/>
  <c r="AY43" i="1"/>
  <c r="AY20" i="1"/>
  <c r="AY8" i="1"/>
  <c r="AY4" i="1"/>
  <c r="AY9" i="1"/>
  <c r="AY52" i="1"/>
  <c r="AY71" i="1"/>
  <c r="AY77" i="1"/>
  <c r="AY61" i="1"/>
  <c r="AY65" i="1"/>
  <c r="AY58" i="1"/>
  <c r="AY57" i="1"/>
  <c r="AY54" i="1"/>
  <c r="AY60" i="1"/>
  <c r="AY59" i="1"/>
  <c r="AY48" i="1"/>
  <c r="AY47" i="1"/>
  <c r="AY46" i="1"/>
  <c r="AY45" i="1"/>
  <c r="AY44" i="1"/>
  <c r="AY33" i="1"/>
  <c r="AY10" i="1"/>
  <c r="AY32" i="1"/>
  <c r="AY41" i="1"/>
  <c r="AY11" i="1"/>
  <c r="AY51" i="1"/>
  <c r="AY75" i="1"/>
  <c r="AY67" i="1"/>
  <c r="AY50" i="1"/>
  <c r="AY38" i="1"/>
  <c r="AY34" i="1"/>
  <c r="AY62" i="1"/>
  <c r="AY21" i="1"/>
  <c r="AY73" i="1"/>
  <c r="AY78" i="1"/>
  <c r="AY74" i="1"/>
  <c r="AY66" i="1"/>
  <c r="AY69" i="1"/>
  <c r="AY55" i="1"/>
  <c r="AY36" i="1"/>
  <c r="AY40" i="1"/>
  <c r="AY28" i="1"/>
  <c r="AY25" i="1"/>
  <c r="AY13" i="1"/>
  <c r="AY42" i="1"/>
  <c r="AY12" i="1"/>
  <c r="AY31" i="1"/>
  <c r="AY22" i="1"/>
  <c r="AY76" i="1"/>
  <c r="AY63" i="1"/>
  <c r="AY68" i="1"/>
  <c r="AY64" i="1"/>
  <c r="AY70" i="1"/>
  <c r="AY56" i="1"/>
  <c r="AY49" i="1"/>
  <c r="AY37" i="1"/>
  <c r="AY35" i="1"/>
  <c r="AY23" i="1"/>
  <c r="AY39" i="1"/>
  <c r="AY27" i="1"/>
  <c r="AY26" i="1"/>
  <c r="AY24" i="1"/>
  <c r="AY30" i="1"/>
  <c r="AY29" i="1"/>
  <c r="AY18" i="1"/>
  <c r="AY17" i="1"/>
  <c r="AY16" i="1"/>
  <c r="AY15" i="1"/>
  <c r="AR58" i="1"/>
  <c r="AR27" i="1"/>
  <c r="AR70" i="1"/>
  <c r="AR17" i="1"/>
  <c r="AR38" i="1"/>
  <c r="AR11" i="1"/>
  <c r="AR65" i="1"/>
  <c r="AR34" i="1"/>
  <c r="AR14" i="1"/>
  <c r="AR62" i="1"/>
  <c r="AR63" i="1"/>
  <c r="AR42" i="1"/>
  <c r="AR49" i="1"/>
  <c r="AR25" i="1"/>
  <c r="AR69" i="1"/>
  <c r="AR60" i="1"/>
  <c r="AR45" i="1"/>
  <c r="AR12" i="1"/>
  <c r="AR56" i="1"/>
  <c r="AR61" i="1"/>
  <c r="AR50" i="1"/>
  <c r="AR29" i="1"/>
  <c r="AR77" i="1"/>
  <c r="AR46" i="1"/>
  <c r="AR15" i="1"/>
  <c r="AR43" i="1"/>
  <c r="AR31" i="1"/>
  <c r="AR59" i="1"/>
  <c r="AR73" i="1"/>
  <c r="AR35" i="1"/>
  <c r="AR52" i="1"/>
  <c r="AR8" i="1"/>
  <c r="AR19" i="1"/>
  <c r="AR67" i="1"/>
  <c r="AR36" i="1"/>
  <c r="AR74" i="1"/>
  <c r="AR33" i="1"/>
  <c r="AR24" i="1"/>
  <c r="AR55" i="1"/>
  <c r="AR28" i="1"/>
  <c r="AR39" i="1"/>
  <c r="AR10" i="1"/>
  <c r="AR9" i="1"/>
  <c r="AR57" i="1"/>
  <c r="AR26" i="1"/>
  <c r="AR64" i="1"/>
  <c r="AR23" i="1"/>
  <c r="AR30" i="1"/>
  <c r="AR48" i="1"/>
  <c r="AR71" i="1"/>
  <c r="AR66" i="1"/>
  <c r="AR18" i="1"/>
  <c r="AR53" i="1"/>
  <c r="AR41" i="1"/>
  <c r="AR78" i="1"/>
  <c r="AR47" i="1"/>
  <c r="AR16" i="1"/>
  <c r="AR54" i="1"/>
  <c r="AR13" i="1"/>
  <c r="AR40" i="1"/>
  <c r="AR72" i="1"/>
  <c r="AR68" i="1"/>
  <c r="AR37" i="1"/>
  <c r="AR75" i="1"/>
  <c r="AR44" i="1"/>
  <c r="AR51" i="1"/>
  <c r="AK21" i="1"/>
  <c r="AK39" i="1"/>
  <c r="AK18" i="1"/>
  <c r="AK48" i="1"/>
  <c r="AK15" i="1"/>
  <c r="AK28" i="1"/>
  <c r="AK17" i="1"/>
  <c r="AK62" i="1"/>
  <c r="AK53" i="1"/>
  <c r="AK14" i="1"/>
  <c r="AK66" i="1"/>
  <c r="AK56" i="1"/>
  <c r="AK16" i="1"/>
  <c r="AK60" i="1"/>
  <c r="AK20" i="1"/>
  <c r="AK31" i="1"/>
  <c r="AK59" i="1"/>
  <c r="AK73" i="1"/>
  <c r="AK24" i="1"/>
  <c r="AK54" i="1"/>
  <c r="AK42" i="1"/>
  <c r="AK13" i="1"/>
  <c r="AK11" i="1"/>
  <c r="AK19" i="1"/>
  <c r="AK38" i="1"/>
  <c r="AK51" i="1"/>
  <c r="AK71" i="1"/>
  <c r="AK58" i="1"/>
  <c r="AK76" i="1"/>
  <c r="AK23" i="1"/>
  <c r="AK44" i="1"/>
  <c r="AK34" i="1"/>
  <c r="AK29" i="1"/>
  <c r="AK33" i="1"/>
  <c r="AK40" i="1"/>
  <c r="AK46" i="1"/>
  <c r="AK75" i="1"/>
  <c r="AK67" i="1"/>
  <c r="AK36" i="1"/>
  <c r="AK65" i="1"/>
  <c r="AK61" i="1"/>
  <c r="AK55" i="1"/>
  <c r="AK41" i="1"/>
  <c r="AK69" i="1"/>
  <c r="AK26" i="1"/>
  <c r="AK49" i="1"/>
  <c r="AK47" i="1"/>
  <c r="AK45" i="1"/>
  <c r="AK70" i="1"/>
  <c r="AK77" i="1"/>
  <c r="AK72" i="1"/>
  <c r="AK37" i="1"/>
  <c r="AK35" i="1"/>
  <c r="AK50" i="1"/>
  <c r="AK74" i="1"/>
  <c r="AK57" i="1"/>
  <c r="AK52" i="1"/>
  <c r="AK78" i="1"/>
  <c r="AK27" i="1"/>
  <c r="AK63" i="1"/>
  <c r="AK25" i="1"/>
  <c r="AK30" i="1"/>
  <c r="AK64" i="1"/>
  <c r="AK32" i="1"/>
  <c r="AK22" i="1"/>
  <c r="AK68" i="1"/>
  <c r="AK43" i="1"/>
</calcChain>
</file>

<file path=xl/sharedStrings.xml><?xml version="1.0" encoding="utf-8"?>
<sst xmlns="http://schemas.openxmlformats.org/spreadsheetml/2006/main" count="59" uniqueCount="18">
  <si>
    <t>Land Purchase</t>
  </si>
  <si>
    <t>Year</t>
  </si>
  <si>
    <t>S3_apc1p5</t>
  </si>
  <si>
    <t>S3_apc2</t>
  </si>
  <si>
    <t>Food Subsidy</t>
  </si>
  <si>
    <t>Carbon Tax Revenue</t>
  </si>
  <si>
    <t>Land Value Tax Revenue</t>
  </si>
  <si>
    <t>S2_base</t>
  </si>
  <si>
    <t>S2_policy</t>
  </si>
  <si>
    <t>S1_SR</t>
  </si>
  <si>
    <t>S1_TC</t>
  </si>
  <si>
    <t>S3_base</t>
  </si>
  <si>
    <t>Billions 2025 USD</t>
  </si>
  <si>
    <t>Land Value</t>
  </si>
  <si>
    <t>Cumulative Total</t>
  </si>
  <si>
    <t>Annual Total</t>
  </si>
  <si>
    <t>Land Tax Rate</t>
  </si>
  <si>
    <t>Value of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</si>
</sst>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ADF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0" fillId="6" borderId="1" xfId="0" applyFill="1" applyBorder="1"/>
    <xf numFmtId="0" fontId="3" fillId="7" borderId="1" xfId="0" applyFont="1" applyFill="1" applyBorder="1"/>
    <xf numFmtId="0" fontId="0" fillId="7" borderId="1" xfId="0" applyFill="1" applyBorder="1"/>
    <xf numFmtId="0" fontId="2" fillId="7" borderId="1" xfId="0" applyFont="1" applyFill="1" applyBorder="1"/>
    <xf numFmtId="0" fontId="3" fillId="8" borderId="1" xfId="0" applyFont="1" applyFill="1" applyBorder="1"/>
    <xf numFmtId="0" fontId="2" fillId="8" borderId="1" xfId="0" applyFont="1" applyFill="1" applyBorder="1"/>
    <xf numFmtId="0" fontId="0" fillId="8" borderId="1" xfId="0" applyFill="1" applyBorder="1"/>
    <xf numFmtId="0" fontId="2" fillId="9" borderId="0" xfId="0" applyFont="1" applyFill="1"/>
    <xf numFmtId="0" fontId="2" fillId="6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ADF1"/>
      <color rgb="FFFF86F9"/>
      <color rgb="FFEF7AE3"/>
      <color rgb="FFB385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9AE4-1588-0F44-97D2-8A2B22E8EE0F}">
  <dimension ref="A1:AY79"/>
  <sheetViews>
    <sheetView tabSelected="1" topLeftCell="AJ62" workbookViewId="0">
      <selection activeCell="AS80" sqref="AS80"/>
    </sheetView>
  </sheetViews>
  <sheetFormatPr baseColWidth="10" defaultRowHeight="16" x14ac:dyDescent="0.2"/>
  <cols>
    <col min="1" max="1" width="12.33203125" bestFit="1" customWidth="1"/>
    <col min="2" max="2" width="15.33203125" bestFit="1" customWidth="1"/>
    <col min="3" max="3" width="12.83203125" bestFit="1" customWidth="1"/>
    <col min="4" max="4" width="11.6640625" bestFit="1" customWidth="1"/>
    <col min="5" max="5" width="17.6640625" bestFit="1" customWidth="1"/>
    <col min="6" max="6" width="20.33203125" bestFit="1" customWidth="1"/>
    <col min="7" max="9" width="20.33203125" customWidth="1"/>
    <col min="10" max="10" width="12.83203125" bestFit="1" customWidth="1"/>
    <col min="11" max="11" width="11.6640625" bestFit="1" customWidth="1"/>
    <col min="12" max="12" width="17.6640625" bestFit="1" customWidth="1"/>
    <col min="13" max="13" width="20.33203125" bestFit="1" customWidth="1"/>
    <col min="14" max="16" width="20.33203125" customWidth="1"/>
    <col min="17" max="17" width="12.83203125" bestFit="1" customWidth="1"/>
    <col min="18" max="18" width="11.6640625" bestFit="1" customWidth="1"/>
    <col min="19" max="19" width="17.6640625" bestFit="1" customWidth="1"/>
    <col min="20" max="20" width="20.33203125" bestFit="1" customWidth="1"/>
    <col min="21" max="23" width="20.33203125" customWidth="1"/>
    <col min="24" max="24" width="12.83203125" bestFit="1" customWidth="1"/>
    <col min="25" max="25" width="11.6640625" bestFit="1" customWidth="1"/>
    <col min="26" max="26" width="17.6640625" bestFit="1" customWidth="1"/>
    <col min="27" max="27" width="20.33203125" bestFit="1" customWidth="1"/>
    <col min="28" max="30" width="20.33203125" customWidth="1"/>
    <col min="31" max="31" width="12.83203125" bestFit="1" customWidth="1"/>
    <col min="32" max="32" width="11.6640625" bestFit="1" customWidth="1"/>
    <col min="33" max="33" width="17.6640625" bestFit="1" customWidth="1"/>
    <col min="34" max="34" width="20.33203125" bestFit="1" customWidth="1"/>
    <col min="35" max="37" width="20.33203125" customWidth="1"/>
    <col min="38" max="38" width="12.83203125" bestFit="1" customWidth="1"/>
    <col min="39" max="39" width="11.6640625" bestFit="1" customWidth="1"/>
    <col min="40" max="40" width="17.6640625" bestFit="1" customWidth="1"/>
    <col min="41" max="41" width="20.33203125" bestFit="1" customWidth="1"/>
    <col min="42" max="44" width="20.33203125" customWidth="1"/>
    <col min="45" max="45" width="12.83203125" bestFit="1" customWidth="1"/>
    <col min="46" max="46" width="11.6640625" bestFit="1" customWidth="1"/>
    <col min="47" max="47" width="17.6640625" bestFit="1" customWidth="1"/>
    <col min="48" max="48" width="20.33203125" bestFit="1" customWidth="1"/>
    <col min="49" max="49" width="20.6640625" bestFit="1" customWidth="1"/>
    <col min="51" max="51" width="15" bestFit="1" customWidth="1"/>
  </cols>
  <sheetData>
    <row r="1" spans="1:51" s="8" customFormat="1" x14ac:dyDescent="0.2">
      <c r="A1" s="8" t="s">
        <v>16</v>
      </c>
      <c r="B1" s="7" t="s">
        <v>1</v>
      </c>
      <c r="C1" s="25" t="s">
        <v>9</v>
      </c>
      <c r="D1" s="25"/>
      <c r="E1" s="25"/>
      <c r="F1" s="25"/>
      <c r="G1" s="25"/>
      <c r="H1" s="25"/>
      <c r="I1" s="25"/>
      <c r="J1" s="26" t="s">
        <v>10</v>
      </c>
      <c r="K1" s="26"/>
      <c r="L1" s="26"/>
      <c r="M1" s="26"/>
      <c r="N1" s="26"/>
      <c r="O1" s="26"/>
      <c r="P1" s="26"/>
      <c r="Q1" s="27" t="s">
        <v>7</v>
      </c>
      <c r="R1" s="27"/>
      <c r="S1" s="27"/>
      <c r="T1" s="27"/>
      <c r="U1" s="27"/>
      <c r="V1" s="27"/>
      <c r="W1" s="27"/>
      <c r="X1" s="28" t="s">
        <v>8</v>
      </c>
      <c r="Y1" s="28"/>
      <c r="Z1" s="28"/>
      <c r="AA1" s="28"/>
      <c r="AB1" s="28"/>
      <c r="AC1" s="28"/>
      <c r="AD1" s="28"/>
      <c r="AE1" s="29" t="s">
        <v>11</v>
      </c>
      <c r="AF1" s="29"/>
      <c r="AG1" s="29"/>
      <c r="AH1" s="29"/>
      <c r="AI1" s="29"/>
      <c r="AJ1" s="29"/>
      <c r="AK1" s="29"/>
      <c r="AL1" s="30" t="s">
        <v>2</v>
      </c>
      <c r="AM1" s="30"/>
      <c r="AN1" s="30"/>
      <c r="AO1" s="30"/>
      <c r="AP1" s="30"/>
      <c r="AQ1" s="30"/>
      <c r="AR1" s="30"/>
      <c r="AS1" s="31" t="s">
        <v>3</v>
      </c>
      <c r="AT1" s="31"/>
      <c r="AU1" s="31"/>
      <c r="AV1" s="31"/>
      <c r="AW1" s="31"/>
      <c r="AX1" s="31"/>
      <c r="AY1" s="31"/>
    </row>
    <row r="2" spans="1:51" s="8" customFormat="1" x14ac:dyDescent="0.2">
      <c r="A2" s="21">
        <v>0.05</v>
      </c>
      <c r="B2" s="8" t="s">
        <v>12</v>
      </c>
      <c r="C2" s="9" t="s">
        <v>0</v>
      </c>
      <c r="D2" s="9" t="s">
        <v>4</v>
      </c>
      <c r="E2" s="9" t="s">
        <v>5</v>
      </c>
      <c r="F2" s="9" t="s">
        <v>13</v>
      </c>
      <c r="G2" s="9" t="s">
        <v>6</v>
      </c>
      <c r="H2" s="9" t="s">
        <v>15</v>
      </c>
      <c r="I2" s="9" t="s">
        <v>14</v>
      </c>
      <c r="J2" s="10" t="s">
        <v>0</v>
      </c>
      <c r="K2" s="10" t="s">
        <v>4</v>
      </c>
      <c r="L2" s="10" t="s">
        <v>5</v>
      </c>
      <c r="M2" s="10" t="s">
        <v>13</v>
      </c>
      <c r="N2" s="10" t="s">
        <v>6</v>
      </c>
      <c r="O2" s="10" t="s">
        <v>15</v>
      </c>
      <c r="P2" s="10" t="s">
        <v>14</v>
      </c>
      <c r="Q2" s="11" t="s">
        <v>0</v>
      </c>
      <c r="R2" s="11" t="s">
        <v>4</v>
      </c>
      <c r="S2" s="11" t="s">
        <v>5</v>
      </c>
      <c r="T2" s="11" t="s">
        <v>13</v>
      </c>
      <c r="U2" s="11" t="s">
        <v>6</v>
      </c>
      <c r="V2" s="11" t="s">
        <v>15</v>
      </c>
      <c r="W2" s="11" t="s">
        <v>14</v>
      </c>
      <c r="X2" s="12" t="s">
        <v>17</v>
      </c>
      <c r="Y2" s="12" t="s">
        <v>4</v>
      </c>
      <c r="Z2" s="12" t="s">
        <v>5</v>
      </c>
      <c r="AA2" s="12" t="s">
        <v>13</v>
      </c>
      <c r="AB2" s="12" t="s">
        <v>6</v>
      </c>
      <c r="AC2" s="12" t="s">
        <v>15</v>
      </c>
      <c r="AD2" s="12" t="s">
        <v>14</v>
      </c>
      <c r="AE2" s="13" t="s">
        <v>0</v>
      </c>
      <c r="AF2" s="13" t="s">
        <v>4</v>
      </c>
      <c r="AG2" s="13" t="s">
        <v>5</v>
      </c>
      <c r="AH2" s="13" t="s">
        <v>13</v>
      </c>
      <c r="AI2" s="13" t="s">
        <v>6</v>
      </c>
      <c r="AJ2" s="13" t="s">
        <v>15</v>
      </c>
      <c r="AK2" s="13" t="s">
        <v>14</v>
      </c>
      <c r="AL2" s="15" t="s">
        <v>0</v>
      </c>
      <c r="AM2" s="15" t="s">
        <v>4</v>
      </c>
      <c r="AN2" s="15" t="s">
        <v>5</v>
      </c>
      <c r="AO2" s="15" t="s">
        <v>13</v>
      </c>
      <c r="AP2" s="15" t="s">
        <v>6</v>
      </c>
      <c r="AQ2" s="15" t="s">
        <v>15</v>
      </c>
      <c r="AR2" s="15" t="s">
        <v>14</v>
      </c>
      <c r="AS2" s="18" t="s">
        <v>0</v>
      </c>
      <c r="AT2" s="18" t="s">
        <v>4</v>
      </c>
      <c r="AU2" s="18" t="s">
        <v>5</v>
      </c>
      <c r="AV2" s="18" t="s">
        <v>13</v>
      </c>
      <c r="AW2" s="18" t="s">
        <v>6</v>
      </c>
      <c r="AX2" s="19" t="s">
        <v>15</v>
      </c>
      <c r="AY2" s="19" t="s">
        <v>14</v>
      </c>
    </row>
    <row r="3" spans="1:51" x14ac:dyDescent="0.2">
      <c r="B3">
        <v>2025</v>
      </c>
      <c r="C3" s="1">
        <v>310.60000000000002</v>
      </c>
      <c r="D3" s="1">
        <v>55.461604540746002</v>
      </c>
      <c r="E3" s="1">
        <v>0</v>
      </c>
      <c r="F3" s="1">
        <v>8156.1772089984497</v>
      </c>
      <c r="G3" s="1">
        <f>F3*0.11*$A$2</f>
        <v>44.858974649491472</v>
      </c>
      <c r="H3" s="1">
        <f>G3+E3-D3-C3</f>
        <v>-321.20262989125456</v>
      </c>
      <c r="I3" s="2">
        <f>SUM($H$3:H3)</f>
        <v>-321.20262989125456</v>
      </c>
      <c r="J3" s="3">
        <v>465.8</v>
      </c>
      <c r="K3" s="3">
        <v>51.9253194511966</v>
      </c>
      <c r="L3" s="3">
        <v>0</v>
      </c>
      <c r="M3" s="3">
        <v>7494.1738115365897</v>
      </c>
      <c r="N3" s="3">
        <f>M3*0.11*$A$2</f>
        <v>41.217955963451246</v>
      </c>
      <c r="O3" s="3">
        <f>N3+L3-K3-J3</f>
        <v>-476.50736348774535</v>
      </c>
      <c r="P3" s="4">
        <f>SUM($O$3:O3)</f>
        <v>-476.50736348774535</v>
      </c>
      <c r="Q3" s="5">
        <v>0</v>
      </c>
      <c r="R3" s="5">
        <v>46.2707401628818</v>
      </c>
      <c r="S3" s="5">
        <v>0</v>
      </c>
      <c r="T3" s="5">
        <v>9207.9471771571098</v>
      </c>
      <c r="U3" s="5">
        <f>T3*0.11*$A$2</f>
        <v>50.643709474364101</v>
      </c>
      <c r="V3" s="5">
        <f>U3+S3-R3-Q3</f>
        <v>4.3729693114823007</v>
      </c>
      <c r="W3" s="5">
        <f>SUM($V$3:V3)</f>
        <v>4.3729693114823007</v>
      </c>
      <c r="X3" s="6">
        <v>-2.4412704081569201</v>
      </c>
      <c r="Y3" s="6">
        <v>46.2707401628818</v>
      </c>
      <c r="Z3" s="6">
        <v>0</v>
      </c>
      <c r="AA3" s="6">
        <v>9205.5059067489601</v>
      </c>
      <c r="AB3" s="6">
        <f>AA3*0.11*$A$2</f>
        <v>50.630282487119281</v>
      </c>
      <c r="AC3" s="6">
        <f>AB3+Z3-Y3-X3</f>
        <v>6.8008127323944008</v>
      </c>
      <c r="AD3" s="6">
        <f>SUM($AC$3:AC3)</f>
        <v>6.8008127323944008</v>
      </c>
      <c r="AE3" s="14">
        <v>90.841289588325793</v>
      </c>
      <c r="AF3" s="14">
        <v>52.287488002946297</v>
      </c>
      <c r="AG3" s="14">
        <v>78.09393</v>
      </c>
      <c r="AH3" s="14">
        <v>6851.8795573616198</v>
      </c>
      <c r="AI3" s="14">
        <f>AH3*0.11*$A$2</f>
        <v>37.685337565488908</v>
      </c>
      <c r="AJ3" s="14">
        <f>AI3+AG3-AF3-AE3</f>
        <v>-27.349510025783182</v>
      </c>
      <c r="AK3" s="14">
        <f>SUM($AJ$3:AJ3)</f>
        <v>-27.349510025783182</v>
      </c>
      <c r="AL3" s="16">
        <v>98.4850219791455</v>
      </c>
      <c r="AM3" s="16">
        <v>49.145340347341097</v>
      </c>
      <c r="AN3" s="16">
        <v>53.266379999999998</v>
      </c>
      <c r="AO3" s="16">
        <v>6638.7826664270897</v>
      </c>
      <c r="AP3" s="16">
        <f>AO3*0.11*$A$2</f>
        <v>36.513304665348997</v>
      </c>
      <c r="AQ3" s="16">
        <f>AP3+AN3-AM3-AL3</f>
        <v>-57.850677661137603</v>
      </c>
      <c r="AR3" s="16">
        <f>SUM($AQ$3:AQ3)</f>
        <v>-57.850677661137603</v>
      </c>
      <c r="AS3" s="20">
        <v>102.37075580523199</v>
      </c>
      <c r="AT3" s="20">
        <v>47.651758092349198</v>
      </c>
      <c r="AU3" s="20">
        <v>40.988028</v>
      </c>
      <c r="AV3" s="20">
        <v>6536.9096261166997</v>
      </c>
      <c r="AW3" s="20">
        <f>AV3*0.11*$A$2</f>
        <v>35.953002943641849</v>
      </c>
      <c r="AX3" s="20">
        <f>AW3+AU3-AT3-AS3</f>
        <v>-73.081482953939343</v>
      </c>
      <c r="AY3" s="20">
        <f>SUM($AX$3:AX3)</f>
        <v>-73.081482953939343</v>
      </c>
    </row>
    <row r="4" spans="1:51" x14ac:dyDescent="0.2">
      <c r="B4">
        <v>2026</v>
      </c>
      <c r="C4" s="1">
        <v>0</v>
      </c>
      <c r="D4" s="1">
        <v>54.989612911909703</v>
      </c>
      <c r="E4" s="1">
        <v>0</v>
      </c>
      <c r="F4" s="1">
        <v>8268.1470652333101</v>
      </c>
      <c r="G4" s="1">
        <f t="shared" ref="G4:G67" si="0">F4*0.11*$A$2</f>
        <v>45.474808858783206</v>
      </c>
      <c r="H4" s="1">
        <f t="shared" ref="H4:H67" si="1">G4+E4-D4-C4</f>
        <v>-9.5148040531264968</v>
      </c>
      <c r="I4" s="2">
        <f>SUM($H$3:H4)</f>
        <v>-330.71743394438107</v>
      </c>
      <c r="J4" s="3">
        <v>0</v>
      </c>
      <c r="K4" s="3">
        <v>51.403003752508603</v>
      </c>
      <c r="L4" s="3">
        <v>0</v>
      </c>
      <c r="M4" s="3">
        <v>7621.0870536788998</v>
      </c>
      <c r="N4" s="3">
        <f t="shared" ref="N4:N67" si="2">M4*0.11*$A$2</f>
        <v>41.915978795233954</v>
      </c>
      <c r="O4" s="3">
        <f t="shared" ref="O4:O67" si="3">N4+L4-K4-J4</f>
        <v>-9.4870249572746488</v>
      </c>
      <c r="P4" s="4">
        <f>SUM($O$3:O4)</f>
        <v>-485.99438844501998</v>
      </c>
      <c r="Q4" s="5">
        <v>0</v>
      </c>
      <c r="R4" s="5">
        <v>45.266559944801998</v>
      </c>
      <c r="S4" s="5">
        <v>0</v>
      </c>
      <c r="T4" s="5">
        <v>9427.8324536720702</v>
      </c>
      <c r="U4" s="5">
        <f t="shared" ref="U4:U67" si="4">T4*0.11*$A$2</f>
        <v>51.853078495196385</v>
      </c>
      <c r="V4" s="5">
        <f t="shared" ref="V4:V67" si="5">U4+S4-R4-Q4</f>
        <v>6.5865185503943877</v>
      </c>
      <c r="W4" s="5">
        <f>SUM($V$3:V4)</f>
        <v>10.959487861876688</v>
      </c>
      <c r="X4" s="6">
        <v>153.48418091317191</v>
      </c>
      <c r="Y4" s="6">
        <v>45.266559944801998</v>
      </c>
      <c r="Z4" s="6">
        <v>0</v>
      </c>
      <c r="AA4" s="6">
        <v>9578.87536417708</v>
      </c>
      <c r="AB4" s="6">
        <f t="shared" ref="AB4:AB67" si="6">AA4*0.11*$A$2</f>
        <v>52.683814502973945</v>
      </c>
      <c r="AC4" s="6">
        <f t="shared" ref="AC4:AC67" si="7">AB4+Z4-Y4-X4</f>
        <v>-146.06692635499996</v>
      </c>
      <c r="AD4" s="6">
        <f>SUM($AC$3:AC4)</f>
        <v>-139.26611362260556</v>
      </c>
      <c r="AE4" s="14">
        <v>4.7698051525957084</v>
      </c>
      <c r="AF4" s="14">
        <v>51.763289525949901</v>
      </c>
      <c r="AG4" s="14">
        <v>63.674540370000003</v>
      </c>
      <c r="AH4" s="14">
        <v>6987.4591838591896</v>
      </c>
      <c r="AI4" s="14">
        <f t="shared" ref="AI4:AI67" si="8">AH4*0.11*$A$2</f>
        <v>38.431025511225549</v>
      </c>
      <c r="AJ4" s="14">
        <f t="shared" ref="AJ4:AJ67" si="9">AI4+AG4-AF4-AE4</f>
        <v>45.572471202679935</v>
      </c>
      <c r="AK4" s="14">
        <f>SUM($AJ$3:AJ4)</f>
        <v>18.222961176896753</v>
      </c>
      <c r="AL4" s="16">
        <v>5.6264625880814947</v>
      </c>
      <c r="AM4" s="16">
        <v>48.341187418593897</v>
      </c>
      <c r="AN4" s="16">
        <v>36.079395660000003</v>
      </c>
      <c r="AO4" s="16">
        <v>6745.02766681501</v>
      </c>
      <c r="AP4" s="16">
        <f t="shared" ref="AP4:AP67" si="10">AO4*0.11*$A$2</f>
        <v>37.097652167482558</v>
      </c>
      <c r="AQ4" s="16">
        <f t="shared" ref="AQ4:AQ67" si="11">AP4+AN4-AM4-AL4</f>
        <v>19.209397820807176</v>
      </c>
      <c r="AR4" s="16">
        <f>SUM($AQ$3:AQ4)</f>
        <v>-38.641279840330427</v>
      </c>
      <c r="AS4" s="20">
        <v>6.0470424251240047</v>
      </c>
      <c r="AT4" s="20">
        <v>46.736253142330398</v>
      </c>
      <c r="AU4" s="20">
        <v>22.599390240000002</v>
      </c>
      <c r="AV4" s="20">
        <v>6630.4876800936199</v>
      </c>
      <c r="AW4" s="20">
        <f t="shared" ref="AW4:AW67" si="12">AV4*0.11*$A$2</f>
        <v>36.467682240514911</v>
      </c>
      <c r="AX4" s="20">
        <f t="shared" ref="AX4:AX67" si="13">AW4+AU4-AT4-AS4</f>
        <v>6.2837769130605068</v>
      </c>
      <c r="AY4" s="20">
        <f>SUM($AX$3:AX4)</f>
        <v>-66.797706040878836</v>
      </c>
    </row>
    <row r="5" spans="1:51" x14ac:dyDescent="0.2">
      <c r="B5">
        <v>2027</v>
      </c>
      <c r="C5" s="1">
        <v>0</v>
      </c>
      <c r="D5" s="1">
        <v>54.517621283073503</v>
      </c>
      <c r="E5" s="1">
        <v>0</v>
      </c>
      <c r="F5" s="1">
        <v>8380.1169214681795</v>
      </c>
      <c r="G5" s="1">
        <f t="shared" si="0"/>
        <v>46.090643068074989</v>
      </c>
      <c r="H5" s="1">
        <f t="shared" si="1"/>
        <v>-8.4269782149985133</v>
      </c>
      <c r="I5" s="2">
        <f>SUM($H$3:H5)</f>
        <v>-339.14441215937961</v>
      </c>
      <c r="J5" s="3">
        <v>0</v>
      </c>
      <c r="K5" s="3">
        <v>50.880688053820698</v>
      </c>
      <c r="L5" s="3">
        <v>0</v>
      </c>
      <c r="M5" s="3">
        <v>7748.0002958211999</v>
      </c>
      <c r="N5" s="3">
        <f t="shared" si="2"/>
        <v>42.614001627016599</v>
      </c>
      <c r="O5" s="3">
        <f t="shared" si="3"/>
        <v>-8.2666864268040996</v>
      </c>
      <c r="P5" s="4">
        <f>SUM($O$3:O5)</f>
        <v>-494.26107487182406</v>
      </c>
      <c r="Q5" s="5">
        <v>0</v>
      </c>
      <c r="R5" s="5">
        <v>44.262379726722202</v>
      </c>
      <c r="S5" s="5">
        <v>0</v>
      </c>
      <c r="T5" s="5">
        <v>9647.7177301870306</v>
      </c>
      <c r="U5" s="5">
        <f t="shared" si="4"/>
        <v>53.062447516028669</v>
      </c>
      <c r="V5" s="5">
        <f t="shared" si="5"/>
        <v>8.8000677893064676</v>
      </c>
      <c r="W5" s="5">
        <f>SUM($V$3:V5)</f>
        <v>19.759555651183156</v>
      </c>
      <c r="X5" s="6">
        <v>153.484180913171</v>
      </c>
      <c r="Y5" s="6">
        <v>44.262379726722202</v>
      </c>
      <c r="Z5" s="6">
        <v>0</v>
      </c>
      <c r="AA5" s="6">
        <v>9952.2448216052107</v>
      </c>
      <c r="AB5" s="6">
        <f t="shared" si="6"/>
        <v>54.737346518828659</v>
      </c>
      <c r="AC5" s="6">
        <f t="shared" si="7"/>
        <v>-143.00921412106453</v>
      </c>
      <c r="AD5" s="6">
        <f>SUM($AC$3:AC5)</f>
        <v>-282.27532774367012</v>
      </c>
      <c r="AE5" s="14">
        <v>4.7698051525954952</v>
      </c>
      <c r="AF5" s="14">
        <v>51.239091048953398</v>
      </c>
      <c r="AG5" s="14">
        <v>47.50999968</v>
      </c>
      <c r="AH5" s="14">
        <v>7123.0388103567602</v>
      </c>
      <c r="AI5" s="14">
        <f t="shared" si="8"/>
        <v>39.176713456962183</v>
      </c>
      <c r="AJ5" s="14">
        <f t="shared" si="9"/>
        <v>30.67781693541329</v>
      </c>
      <c r="AK5" s="14">
        <f>SUM($AJ$3:AJ5)</f>
        <v>48.900778112310043</v>
      </c>
      <c r="AL5" s="16">
        <v>5.6264625880800025</v>
      </c>
      <c r="AM5" s="16">
        <v>47.537034489846697</v>
      </c>
      <c r="AN5" s="16">
        <v>17.00190624</v>
      </c>
      <c r="AO5" s="16">
        <v>6851.2726672029403</v>
      </c>
      <c r="AP5" s="16">
        <f t="shared" si="10"/>
        <v>37.681999669616168</v>
      </c>
      <c r="AQ5" s="16">
        <f t="shared" si="11"/>
        <v>1.5204088316894726</v>
      </c>
      <c r="AR5" s="16">
        <f>SUM($AQ$3:AQ5)</f>
        <v>-37.120871008640954</v>
      </c>
      <c r="AS5" s="20">
        <v>6.0470424251240047</v>
      </c>
      <c r="AT5" s="20">
        <v>45.820748192311598</v>
      </c>
      <c r="AU5" s="20">
        <v>2.2642725600000015</v>
      </c>
      <c r="AV5" s="20">
        <v>6724.0657340705402</v>
      </c>
      <c r="AW5" s="20">
        <f t="shared" si="12"/>
        <v>36.982361537387973</v>
      </c>
      <c r="AX5" s="20">
        <f t="shared" si="13"/>
        <v>-12.621156520047627</v>
      </c>
      <c r="AY5" s="20">
        <f>SUM($AX$3:AX5)</f>
        <v>-79.41886256092647</v>
      </c>
    </row>
    <row r="6" spans="1:51" x14ac:dyDescent="0.2">
      <c r="B6">
        <v>2028</v>
      </c>
      <c r="C6" s="1">
        <v>0</v>
      </c>
      <c r="D6" s="1">
        <v>54.045629654237203</v>
      </c>
      <c r="E6" s="1">
        <v>0</v>
      </c>
      <c r="F6" s="1">
        <v>8492.0867777030508</v>
      </c>
      <c r="G6" s="1">
        <f t="shared" si="0"/>
        <v>46.706477277366787</v>
      </c>
      <c r="H6" s="1">
        <f t="shared" si="1"/>
        <v>-7.3391523768704161</v>
      </c>
      <c r="I6" s="2">
        <f>SUM($H$3:H6)</f>
        <v>-346.48356453625001</v>
      </c>
      <c r="J6" s="3">
        <v>0</v>
      </c>
      <c r="K6" s="3">
        <v>50.358372355132801</v>
      </c>
      <c r="L6" s="3">
        <v>0</v>
      </c>
      <c r="M6" s="3">
        <v>7874.9135379634999</v>
      </c>
      <c r="N6" s="3">
        <f t="shared" si="2"/>
        <v>43.31202445879925</v>
      </c>
      <c r="O6" s="3">
        <f t="shared" si="3"/>
        <v>-7.0463478963335504</v>
      </c>
      <c r="P6" s="4">
        <f>SUM($O$3:O6)</f>
        <v>-501.30742276815761</v>
      </c>
      <c r="Q6" s="5">
        <v>0</v>
      </c>
      <c r="R6" s="5">
        <v>43.258199508642399</v>
      </c>
      <c r="S6" s="5">
        <v>0</v>
      </c>
      <c r="T6" s="5">
        <v>9867.6030067019801</v>
      </c>
      <c r="U6" s="5">
        <f t="shared" si="4"/>
        <v>54.271816536860889</v>
      </c>
      <c r="V6" s="5">
        <f t="shared" si="5"/>
        <v>11.013617028218491</v>
      </c>
      <c r="W6" s="5">
        <f>SUM($V$3:V6)</f>
        <v>30.773172679401647</v>
      </c>
      <c r="X6" s="6">
        <v>153.48418091317501</v>
      </c>
      <c r="Y6" s="6">
        <v>43.258199508642399</v>
      </c>
      <c r="Z6" s="6">
        <v>0</v>
      </c>
      <c r="AA6" s="6">
        <v>10325.6142790333</v>
      </c>
      <c r="AB6" s="6">
        <f t="shared" si="6"/>
        <v>56.790878534683145</v>
      </c>
      <c r="AC6" s="6">
        <f t="shared" si="7"/>
        <v>-139.95150188713427</v>
      </c>
      <c r="AD6" s="6">
        <f>SUM($AC$3:AC6)</f>
        <v>-422.22682963080439</v>
      </c>
      <c r="AE6" s="14">
        <v>4.7698051525960068</v>
      </c>
      <c r="AF6" s="14">
        <v>50.714892571957002</v>
      </c>
      <c r="AG6" s="14">
        <v>29.729004921000005</v>
      </c>
      <c r="AH6" s="14">
        <v>7258.61843685432</v>
      </c>
      <c r="AI6" s="14">
        <f t="shared" si="8"/>
        <v>39.922401402698767</v>
      </c>
      <c r="AJ6" s="14">
        <f t="shared" si="9"/>
        <v>14.166708599145771</v>
      </c>
      <c r="AK6" s="14">
        <f>SUM($AJ$3:AJ6)</f>
        <v>63.067486711455814</v>
      </c>
      <c r="AL6" s="16">
        <v>5.6264625880809973</v>
      </c>
      <c r="AM6" s="16">
        <v>46.732881561099397</v>
      </c>
      <c r="AN6" s="16">
        <v>0</v>
      </c>
      <c r="AO6" s="16">
        <v>6957.5176675908697</v>
      </c>
      <c r="AP6" s="16">
        <f t="shared" si="10"/>
        <v>38.266347171749786</v>
      </c>
      <c r="AQ6" s="16">
        <f t="shared" si="11"/>
        <v>-14.092996977430609</v>
      </c>
      <c r="AR6" s="16">
        <f>SUM($AQ$3:AQ6)</f>
        <v>-51.213867986071563</v>
      </c>
      <c r="AS6" s="20">
        <v>6.0470424251249995</v>
      </c>
      <c r="AT6" s="20">
        <v>44.905243242292798</v>
      </c>
      <c r="AU6" s="20">
        <v>0</v>
      </c>
      <c r="AV6" s="20">
        <v>6817.6437880474696</v>
      </c>
      <c r="AW6" s="20">
        <f t="shared" si="12"/>
        <v>37.497040834261085</v>
      </c>
      <c r="AX6" s="20">
        <f t="shared" si="13"/>
        <v>-13.455244833156712</v>
      </c>
      <c r="AY6" s="20">
        <f>SUM($AX$3:AX6)</f>
        <v>-92.874107394083182</v>
      </c>
    </row>
    <row r="7" spans="1:51" x14ac:dyDescent="0.2">
      <c r="B7">
        <v>2029</v>
      </c>
      <c r="C7" s="1">
        <v>0</v>
      </c>
      <c r="D7" s="1">
        <v>53.573638025401003</v>
      </c>
      <c r="E7" s="1">
        <v>0</v>
      </c>
      <c r="F7" s="1">
        <v>8604.0566339379202</v>
      </c>
      <c r="G7" s="1">
        <f t="shared" si="0"/>
        <v>47.322311486658563</v>
      </c>
      <c r="H7" s="1">
        <f t="shared" si="1"/>
        <v>-6.2513265387424397</v>
      </c>
      <c r="I7" s="2">
        <f>SUM($H$3:H7)</f>
        <v>-352.73489107499245</v>
      </c>
      <c r="J7" s="3">
        <v>0</v>
      </c>
      <c r="K7" s="3">
        <v>49.836056656444903</v>
      </c>
      <c r="L7" s="3">
        <v>0</v>
      </c>
      <c r="M7" s="3">
        <v>8001.8267801058</v>
      </c>
      <c r="N7" s="3">
        <f t="shared" si="2"/>
        <v>44.010047290581902</v>
      </c>
      <c r="O7" s="3">
        <f t="shared" si="3"/>
        <v>-5.8260093658630012</v>
      </c>
      <c r="P7" s="4">
        <f>SUM($O$3:O7)</f>
        <v>-507.13343213402061</v>
      </c>
      <c r="Q7" s="5">
        <v>0</v>
      </c>
      <c r="R7" s="5">
        <v>42.254019290562603</v>
      </c>
      <c r="S7" s="5">
        <v>0</v>
      </c>
      <c r="T7" s="5">
        <v>10087.488283216901</v>
      </c>
      <c r="U7" s="5">
        <f t="shared" si="4"/>
        <v>55.48118555769296</v>
      </c>
      <c r="V7" s="5">
        <f t="shared" si="5"/>
        <v>13.227166267130357</v>
      </c>
      <c r="W7" s="5">
        <f>SUM($V$3:V7)</f>
        <v>44.000338946532004</v>
      </c>
      <c r="X7" s="6">
        <v>153.48418091317097</v>
      </c>
      <c r="Y7" s="6">
        <v>42.254019290562603</v>
      </c>
      <c r="Z7" s="6">
        <v>0</v>
      </c>
      <c r="AA7" s="6">
        <v>10698.9837364615</v>
      </c>
      <c r="AB7" s="6">
        <f t="shared" si="6"/>
        <v>58.84441055053825</v>
      </c>
      <c r="AC7" s="6">
        <f t="shared" si="7"/>
        <v>-136.89378965319531</v>
      </c>
      <c r="AD7" s="6">
        <f>SUM($AC$3:AC7)</f>
        <v>-559.12061928399976</v>
      </c>
      <c r="AE7" s="14">
        <v>4.7698051525959926</v>
      </c>
      <c r="AF7" s="14">
        <v>50.190694094960499</v>
      </c>
      <c r="AG7" s="14">
        <v>9.9454651200000015</v>
      </c>
      <c r="AH7" s="14">
        <v>7394.1980633518897</v>
      </c>
      <c r="AI7" s="14">
        <f t="shared" si="8"/>
        <v>40.668089348435394</v>
      </c>
      <c r="AJ7" s="14">
        <f t="shared" si="9"/>
        <v>-4.3469447791210953</v>
      </c>
      <c r="AK7" s="14">
        <f>SUM($AJ$3:AJ7)</f>
        <v>58.720541932334719</v>
      </c>
      <c r="AL7" s="16">
        <v>5.6264625880810115</v>
      </c>
      <c r="AM7" s="16">
        <v>45.928728632352197</v>
      </c>
      <c r="AN7" s="16">
        <v>0</v>
      </c>
      <c r="AO7" s="16">
        <v>7063.7626679788</v>
      </c>
      <c r="AP7" s="16">
        <f t="shared" si="10"/>
        <v>38.850694673883403</v>
      </c>
      <c r="AQ7" s="16">
        <f t="shared" si="11"/>
        <v>-12.704496546549805</v>
      </c>
      <c r="AR7" s="16">
        <f>SUM($AQ$3:AQ7)</f>
        <v>-63.918364532621368</v>
      </c>
      <c r="AS7" s="20">
        <v>6.0470424251239905</v>
      </c>
      <c r="AT7" s="20">
        <v>43.989738292273898</v>
      </c>
      <c r="AU7" s="20">
        <v>0</v>
      </c>
      <c r="AV7" s="20">
        <v>6911.2218420243898</v>
      </c>
      <c r="AW7" s="20">
        <f t="shared" si="12"/>
        <v>38.011720131134147</v>
      </c>
      <c r="AX7" s="20">
        <f t="shared" si="13"/>
        <v>-12.025060586263741</v>
      </c>
      <c r="AY7" s="20">
        <f>SUM($AX$3:AX7)</f>
        <v>-104.89916798034693</v>
      </c>
    </row>
    <row r="8" spans="1:51" x14ac:dyDescent="0.2">
      <c r="B8">
        <v>2030</v>
      </c>
      <c r="C8" s="1">
        <v>0</v>
      </c>
      <c r="D8" s="1">
        <v>53.101646396564803</v>
      </c>
      <c r="E8" s="1">
        <v>0</v>
      </c>
      <c r="F8" s="1">
        <v>8716.0264901727805</v>
      </c>
      <c r="G8" s="1">
        <f t="shared" si="0"/>
        <v>47.938145695950297</v>
      </c>
      <c r="H8" s="1">
        <f t="shared" si="1"/>
        <v>-5.1635007006145059</v>
      </c>
      <c r="I8" s="2">
        <f>SUM($H$3:H8)</f>
        <v>-357.89839177560697</v>
      </c>
      <c r="J8" s="3">
        <v>0</v>
      </c>
      <c r="K8" s="3">
        <v>49.313740957756998</v>
      </c>
      <c r="L8" s="3">
        <v>0</v>
      </c>
      <c r="M8" s="3">
        <v>8128.7400222481001</v>
      </c>
      <c r="N8" s="3">
        <f t="shared" si="2"/>
        <v>44.708070122364553</v>
      </c>
      <c r="O8" s="3">
        <f t="shared" si="3"/>
        <v>-4.6056708353924449</v>
      </c>
      <c r="P8" s="4">
        <f>SUM($O$3:O8)</f>
        <v>-511.73910296941307</v>
      </c>
      <c r="Q8" s="5">
        <v>0</v>
      </c>
      <c r="R8" s="5">
        <v>41.2498390724828</v>
      </c>
      <c r="S8" s="5">
        <v>0</v>
      </c>
      <c r="T8" s="5">
        <v>10307.373559731899</v>
      </c>
      <c r="U8" s="5">
        <f t="shared" si="4"/>
        <v>56.69055457852545</v>
      </c>
      <c r="V8" s="5">
        <f t="shared" si="5"/>
        <v>15.44071550604265</v>
      </c>
      <c r="W8" s="5">
        <f>SUM($V$3:V8)</f>
        <v>59.441054452574654</v>
      </c>
      <c r="X8" s="6">
        <v>153.48418091317205</v>
      </c>
      <c r="Y8" s="6">
        <v>41.2498390724828</v>
      </c>
      <c r="Z8" s="6">
        <v>0</v>
      </c>
      <c r="AA8" s="6">
        <v>11072.353193889599</v>
      </c>
      <c r="AB8" s="6">
        <f t="shared" si="6"/>
        <v>60.8979425663928</v>
      </c>
      <c r="AC8" s="6">
        <f t="shared" si="7"/>
        <v>-133.83607741926204</v>
      </c>
      <c r="AD8" s="6">
        <f>SUM($AC$3:AC8)</f>
        <v>-692.95669670326174</v>
      </c>
      <c r="AE8" s="14">
        <v>4.7698051525949978</v>
      </c>
      <c r="AF8" s="14">
        <v>49.666495617964102</v>
      </c>
      <c r="AG8" s="14">
        <v>0</v>
      </c>
      <c r="AH8" s="14">
        <v>7529.7776898494603</v>
      </c>
      <c r="AI8" s="14">
        <f t="shared" si="8"/>
        <v>41.413777294172036</v>
      </c>
      <c r="AJ8" s="14">
        <f t="shared" si="9"/>
        <v>-13.022523476387065</v>
      </c>
      <c r="AK8" s="14">
        <f>SUM($AJ$3:AJ8)</f>
        <v>45.698018455947654</v>
      </c>
      <c r="AL8" s="16">
        <v>5.6264625880809973</v>
      </c>
      <c r="AM8" s="16">
        <v>45.124575703604997</v>
      </c>
      <c r="AN8" s="16">
        <v>0</v>
      </c>
      <c r="AO8" s="16">
        <v>7170.0076683667303</v>
      </c>
      <c r="AP8" s="16">
        <f t="shared" si="10"/>
        <v>39.435042176017021</v>
      </c>
      <c r="AQ8" s="16">
        <f t="shared" si="11"/>
        <v>-11.315996115668973</v>
      </c>
      <c r="AR8" s="16">
        <f>SUM($AQ$3:AQ8)</f>
        <v>-75.234360648290334</v>
      </c>
      <c r="AS8" s="20">
        <v>6.0470424251240189</v>
      </c>
      <c r="AT8" s="20">
        <v>43.074233342255098</v>
      </c>
      <c r="AU8" s="20">
        <v>0</v>
      </c>
      <c r="AV8" s="20">
        <v>7004.7998960013101</v>
      </c>
      <c r="AW8" s="20">
        <f t="shared" si="12"/>
        <v>38.52639942800721</v>
      </c>
      <c r="AX8" s="20">
        <f t="shared" si="13"/>
        <v>-10.594876339371908</v>
      </c>
      <c r="AY8" s="20">
        <f>SUM($AX$3:AX8)</f>
        <v>-115.49404431971884</v>
      </c>
    </row>
    <row r="9" spans="1:51" x14ac:dyDescent="0.2">
      <c r="B9">
        <v>2031</v>
      </c>
      <c r="C9" s="1">
        <v>0</v>
      </c>
      <c r="D9" s="1">
        <v>52.754170529484398</v>
      </c>
      <c r="E9" s="1">
        <v>0</v>
      </c>
      <c r="F9" s="1">
        <v>8901.8289567559295</v>
      </c>
      <c r="G9" s="1">
        <f t="shared" si="0"/>
        <v>48.960059262157614</v>
      </c>
      <c r="H9" s="1">
        <f t="shared" si="1"/>
        <v>-3.7941112673267838</v>
      </c>
      <c r="I9" s="2">
        <f>SUM($H$3:H9)</f>
        <v>-361.69250304293377</v>
      </c>
      <c r="J9" s="3">
        <v>0</v>
      </c>
      <c r="K9" s="3">
        <v>48.818084992291503</v>
      </c>
      <c r="L9" s="3">
        <v>0</v>
      </c>
      <c r="M9" s="3">
        <v>8272.9362099195405</v>
      </c>
      <c r="N9" s="3">
        <f t="shared" si="2"/>
        <v>45.501149154557481</v>
      </c>
      <c r="O9" s="3">
        <f t="shared" si="3"/>
        <v>-3.3169358377340217</v>
      </c>
      <c r="P9" s="4">
        <f>SUM($O$3:O9)</f>
        <v>-515.05603880714705</v>
      </c>
      <c r="Q9" s="5">
        <v>0</v>
      </c>
      <c r="R9" s="5">
        <v>40.277109445377697</v>
      </c>
      <c r="S9" s="5">
        <v>0</v>
      </c>
      <c r="T9" s="5">
        <v>10461.655696346301</v>
      </c>
      <c r="U9" s="5">
        <f t="shared" si="4"/>
        <v>57.539106329904655</v>
      </c>
      <c r="V9" s="5">
        <f t="shared" si="5"/>
        <v>17.261996884526958</v>
      </c>
      <c r="W9" s="5">
        <f>SUM($V$3:V9)</f>
        <v>76.703051337101613</v>
      </c>
      <c r="X9" s="6">
        <v>12.500126166161976</v>
      </c>
      <c r="Y9" s="6">
        <v>40.277109445377697</v>
      </c>
      <c r="Z9" s="6">
        <v>0</v>
      </c>
      <c r="AA9" s="6">
        <v>11239.135456670199</v>
      </c>
      <c r="AB9" s="6">
        <f t="shared" si="6"/>
        <v>61.815245011686102</v>
      </c>
      <c r="AC9" s="6">
        <f t="shared" si="7"/>
        <v>9.0380094001464286</v>
      </c>
      <c r="AD9" s="6">
        <f>SUM($AC$3:AC9)</f>
        <v>-683.91868730311535</v>
      </c>
      <c r="AE9" s="14">
        <v>6.062728091535007</v>
      </c>
      <c r="AF9" s="14">
        <v>49.253396248136603</v>
      </c>
      <c r="AG9" s="14">
        <v>0</v>
      </c>
      <c r="AH9" s="14">
        <v>7690.3408122995297</v>
      </c>
      <c r="AI9" s="14">
        <f t="shared" si="8"/>
        <v>42.29687446764742</v>
      </c>
      <c r="AJ9" s="14">
        <f t="shared" si="9"/>
        <v>-13.01924987202419</v>
      </c>
      <c r="AK9" s="14">
        <f>SUM($AJ$3:AJ9)</f>
        <v>32.678768583923464</v>
      </c>
      <c r="AL9" s="16">
        <v>6.8335802201979874</v>
      </c>
      <c r="AM9" s="16">
        <v>44.419570013002598</v>
      </c>
      <c r="AN9" s="16">
        <v>0</v>
      </c>
      <c r="AO9" s="16">
        <v>7299.0737438718197</v>
      </c>
      <c r="AP9" s="16">
        <f t="shared" si="10"/>
        <v>40.144905591295014</v>
      </c>
      <c r="AQ9" s="16">
        <f t="shared" si="11"/>
        <v>-11.108244641905571</v>
      </c>
      <c r="AR9" s="16">
        <f>SUM($AQ$3:AQ9)</f>
        <v>-86.342605290195905</v>
      </c>
      <c r="AS9" s="20">
        <v>7.2096684582859893</v>
      </c>
      <c r="AT9" s="20">
        <v>42.338942394385803</v>
      </c>
      <c r="AU9" s="20">
        <v>0</v>
      </c>
      <c r="AV9" s="20">
        <v>7121.3524412955003</v>
      </c>
      <c r="AW9" s="20">
        <f t="shared" si="12"/>
        <v>39.167438427125255</v>
      </c>
      <c r="AX9" s="20">
        <f t="shared" si="13"/>
        <v>-10.381172425546538</v>
      </c>
      <c r="AY9" s="20">
        <f>SUM($AX$3:AX9)</f>
        <v>-125.87521674526538</v>
      </c>
    </row>
    <row r="10" spans="1:51" x14ac:dyDescent="0.2">
      <c r="B10">
        <v>2032</v>
      </c>
      <c r="C10" s="1">
        <v>0</v>
      </c>
      <c r="D10" s="1">
        <v>52.406694662404</v>
      </c>
      <c r="E10" s="1">
        <v>0</v>
      </c>
      <c r="F10" s="1">
        <v>9087.6314233390694</v>
      </c>
      <c r="G10" s="1">
        <f t="shared" si="0"/>
        <v>49.981972828364889</v>
      </c>
      <c r="H10" s="1">
        <f t="shared" si="1"/>
        <v>-2.4247218340391115</v>
      </c>
      <c r="I10" s="1">
        <f>SUM($H$3:H10)</f>
        <v>-364.1172248769729</v>
      </c>
      <c r="J10" s="3">
        <v>0</v>
      </c>
      <c r="K10" s="3">
        <v>48.322429026825901</v>
      </c>
      <c r="L10" s="3">
        <v>0</v>
      </c>
      <c r="M10" s="3">
        <v>8417.13239759098</v>
      </c>
      <c r="N10" s="3">
        <f t="shared" si="2"/>
        <v>46.294228186750388</v>
      </c>
      <c r="O10" s="3">
        <f t="shared" si="3"/>
        <v>-2.0282008400755132</v>
      </c>
      <c r="P10" s="4">
        <f>SUM($O$3:O10)</f>
        <v>-517.0842396472226</v>
      </c>
      <c r="Q10" s="5">
        <v>0</v>
      </c>
      <c r="R10" s="5">
        <v>39.304379818272601</v>
      </c>
      <c r="S10" s="5">
        <v>0</v>
      </c>
      <c r="T10" s="5">
        <v>10615.937832960701</v>
      </c>
      <c r="U10" s="5">
        <f t="shared" si="4"/>
        <v>58.38765808128386</v>
      </c>
      <c r="V10" s="5">
        <f t="shared" si="5"/>
        <v>19.083278263011259</v>
      </c>
      <c r="W10" s="5">
        <f>SUM($V$3:V10)</f>
        <v>95.786329600112879</v>
      </c>
      <c r="X10" s="6">
        <v>12.500126166166979</v>
      </c>
      <c r="Y10" s="6">
        <v>39.304379818272601</v>
      </c>
      <c r="Z10" s="6">
        <v>0</v>
      </c>
      <c r="AA10" s="6">
        <v>11405.917719450799</v>
      </c>
      <c r="AB10" s="6">
        <f t="shared" si="6"/>
        <v>62.732547456979404</v>
      </c>
      <c r="AC10" s="6">
        <f t="shared" si="7"/>
        <v>10.928041472539824</v>
      </c>
      <c r="AD10" s="6">
        <f>SUM($AC$3:AC10)</f>
        <v>-672.99064583057555</v>
      </c>
      <c r="AE10" s="14">
        <v>6.0627280915349928</v>
      </c>
      <c r="AF10" s="14">
        <v>48.840296878309097</v>
      </c>
      <c r="AG10" s="14">
        <v>0</v>
      </c>
      <c r="AH10" s="14">
        <v>7850.9039347496</v>
      </c>
      <c r="AI10" s="14">
        <f t="shared" si="8"/>
        <v>43.179971641122805</v>
      </c>
      <c r="AJ10" s="14">
        <f t="shared" si="9"/>
        <v>-11.723053328721285</v>
      </c>
      <c r="AK10" s="14">
        <f>SUM($AJ$3:AJ10)</f>
        <v>20.955715255202179</v>
      </c>
      <c r="AL10" s="16">
        <v>6.8335802201970068</v>
      </c>
      <c r="AM10" s="16">
        <v>43.7145643224002</v>
      </c>
      <c r="AN10" s="16">
        <v>0</v>
      </c>
      <c r="AO10" s="16">
        <v>7428.1398193769101</v>
      </c>
      <c r="AP10" s="16">
        <f t="shared" si="10"/>
        <v>40.854769006573008</v>
      </c>
      <c r="AQ10" s="16">
        <f t="shared" si="11"/>
        <v>-9.6933755360241989</v>
      </c>
      <c r="AR10" s="16">
        <f>SUM($AQ$3:AQ10)</f>
        <v>-96.035980826220111</v>
      </c>
      <c r="AS10" s="20">
        <v>7.2096684582859893</v>
      </c>
      <c r="AT10" s="20">
        <v>41.603651446516402</v>
      </c>
      <c r="AU10" s="20">
        <v>0</v>
      </c>
      <c r="AV10" s="20">
        <v>7237.9049865896905</v>
      </c>
      <c r="AW10" s="20">
        <f t="shared" si="12"/>
        <v>39.8084774262433</v>
      </c>
      <c r="AX10" s="20">
        <f t="shared" si="13"/>
        <v>-9.004842478559091</v>
      </c>
      <c r="AY10" s="20">
        <f>SUM($AX$3:AX10)</f>
        <v>-134.88005922382447</v>
      </c>
    </row>
    <row r="11" spans="1:51" x14ac:dyDescent="0.2">
      <c r="B11">
        <v>2033</v>
      </c>
      <c r="C11" s="1">
        <v>0</v>
      </c>
      <c r="D11" s="1">
        <v>52.059218795323602</v>
      </c>
      <c r="E11" s="1">
        <v>0</v>
      </c>
      <c r="F11" s="1">
        <v>9273.4338899222203</v>
      </c>
      <c r="G11" s="1">
        <f t="shared" si="0"/>
        <v>51.00388639457222</v>
      </c>
      <c r="H11" s="1">
        <f t="shared" si="1"/>
        <v>-1.0553324007513822</v>
      </c>
      <c r="I11" s="1">
        <f>SUM($H$3:H11)</f>
        <v>-365.17255727772431</v>
      </c>
      <c r="J11" s="3">
        <v>0</v>
      </c>
      <c r="K11" s="3">
        <v>47.826773061360399</v>
      </c>
      <c r="L11" s="3">
        <v>0</v>
      </c>
      <c r="M11" s="3">
        <v>8561.3285852624194</v>
      </c>
      <c r="N11" s="3">
        <f t="shared" si="2"/>
        <v>47.087307218943309</v>
      </c>
      <c r="O11" s="3">
        <f t="shared" si="3"/>
        <v>-0.7394658424170899</v>
      </c>
      <c r="P11" s="4">
        <f>SUM($O$3:O11)</f>
        <v>-517.82370548963968</v>
      </c>
      <c r="Q11" s="5">
        <v>0</v>
      </c>
      <c r="R11" s="5">
        <v>38.331650191167498</v>
      </c>
      <c r="S11" s="5">
        <v>0</v>
      </c>
      <c r="T11" s="5">
        <v>10770.219969575201</v>
      </c>
      <c r="U11" s="5">
        <f t="shared" si="4"/>
        <v>59.236209832663604</v>
      </c>
      <c r="V11" s="5">
        <f t="shared" si="5"/>
        <v>20.904559641496107</v>
      </c>
      <c r="W11" s="5">
        <f>SUM($V$3:V11)</f>
        <v>116.69088924160899</v>
      </c>
      <c r="X11" s="6">
        <v>12.500126166161976</v>
      </c>
      <c r="Y11" s="6">
        <v>38.331650191167498</v>
      </c>
      <c r="Z11" s="6">
        <v>0</v>
      </c>
      <c r="AA11" s="6">
        <v>11572.699982231399</v>
      </c>
      <c r="AB11" s="6">
        <f t="shared" si="6"/>
        <v>63.649849902272699</v>
      </c>
      <c r="AC11" s="6">
        <f t="shared" si="7"/>
        <v>12.818073544943225</v>
      </c>
      <c r="AD11" s="6">
        <f>SUM($AC$3:AC11)</f>
        <v>-660.17257228563233</v>
      </c>
      <c r="AE11" s="14">
        <v>6.062728091535007</v>
      </c>
      <c r="AF11" s="14">
        <v>48.427197508481598</v>
      </c>
      <c r="AG11" s="14">
        <v>0</v>
      </c>
      <c r="AH11" s="14">
        <v>8011.4670571996803</v>
      </c>
      <c r="AI11" s="14">
        <f t="shared" si="8"/>
        <v>44.063068814598246</v>
      </c>
      <c r="AJ11" s="14">
        <f t="shared" si="9"/>
        <v>-10.426856785418359</v>
      </c>
      <c r="AK11" s="14">
        <f>SUM($AJ$3:AJ11)</f>
        <v>10.52885846978382</v>
      </c>
      <c r="AL11" s="16">
        <v>6.8335802201970068</v>
      </c>
      <c r="AM11" s="16">
        <v>43.009558631797802</v>
      </c>
      <c r="AN11" s="16">
        <v>0</v>
      </c>
      <c r="AO11" s="16">
        <v>7557.2058948820004</v>
      </c>
      <c r="AP11" s="16">
        <f t="shared" si="10"/>
        <v>41.564632421851002</v>
      </c>
      <c r="AQ11" s="16">
        <f t="shared" si="11"/>
        <v>-8.2785064301438069</v>
      </c>
      <c r="AR11" s="16">
        <f>SUM($AQ$3:AQ11)</f>
        <v>-104.31448725636392</v>
      </c>
      <c r="AS11" s="20">
        <v>7.2096684582860178</v>
      </c>
      <c r="AT11" s="20">
        <v>40.8683604986471</v>
      </c>
      <c r="AU11" s="20">
        <v>0</v>
      </c>
      <c r="AV11" s="20">
        <v>7354.4575318838797</v>
      </c>
      <c r="AW11" s="20">
        <f t="shared" si="12"/>
        <v>40.449516425361338</v>
      </c>
      <c r="AX11" s="20">
        <f t="shared" si="13"/>
        <v>-7.6285125315717792</v>
      </c>
      <c r="AY11" s="20">
        <f>SUM($AX$3:AX11)</f>
        <v>-142.50857175539625</v>
      </c>
    </row>
    <row r="12" spans="1:51" x14ac:dyDescent="0.2">
      <c r="B12">
        <v>2034</v>
      </c>
      <c r="C12" s="1">
        <v>0</v>
      </c>
      <c r="D12" s="1">
        <v>51.711742928243197</v>
      </c>
      <c r="E12" s="1">
        <v>0</v>
      </c>
      <c r="F12" s="1">
        <v>9459.2363565053602</v>
      </c>
      <c r="G12" s="1">
        <f t="shared" si="0"/>
        <v>52.02579996077948</v>
      </c>
      <c r="H12" s="1">
        <f t="shared" si="1"/>
        <v>0.31405703253628303</v>
      </c>
      <c r="I12" s="1">
        <f>SUM($H$3:H12)</f>
        <v>-364.858500245188</v>
      </c>
      <c r="J12" s="3">
        <v>0</v>
      </c>
      <c r="K12" s="3">
        <v>47.331117095894903</v>
      </c>
      <c r="L12" s="3">
        <v>0</v>
      </c>
      <c r="M12" s="3">
        <v>8705.5247729338498</v>
      </c>
      <c r="N12" s="3">
        <f t="shared" si="2"/>
        <v>47.880386251136173</v>
      </c>
      <c r="O12" s="3">
        <f t="shared" si="3"/>
        <v>0.5492691552412694</v>
      </c>
      <c r="P12" s="4">
        <f>SUM($O$3:O12)</f>
        <v>-517.27443633439839</v>
      </c>
      <c r="Q12" s="5">
        <v>0</v>
      </c>
      <c r="R12" s="5">
        <v>37.358920564062402</v>
      </c>
      <c r="S12" s="5">
        <v>0</v>
      </c>
      <c r="T12" s="5">
        <v>10924.5021061896</v>
      </c>
      <c r="U12" s="5">
        <f t="shared" si="4"/>
        <v>60.084761584042809</v>
      </c>
      <c r="V12" s="5">
        <f t="shared" si="5"/>
        <v>22.725841019980408</v>
      </c>
      <c r="W12" s="5">
        <f>SUM($V$3:V12)</f>
        <v>139.41673026158941</v>
      </c>
      <c r="X12" s="6">
        <v>12.500126166164023</v>
      </c>
      <c r="Y12" s="6">
        <v>37.358920564062402</v>
      </c>
      <c r="Z12" s="6">
        <v>0</v>
      </c>
      <c r="AA12" s="6">
        <v>11739.482245011999</v>
      </c>
      <c r="AB12" s="6">
        <f t="shared" si="6"/>
        <v>64.567152347565994</v>
      </c>
      <c r="AC12" s="6">
        <f t="shared" si="7"/>
        <v>14.708105617339569</v>
      </c>
      <c r="AD12" s="6">
        <f>SUM($AC$3:AC12)</f>
        <v>-645.46446666829274</v>
      </c>
      <c r="AE12" s="14">
        <v>6.062728091535007</v>
      </c>
      <c r="AF12" s="14">
        <v>48.014098138653999</v>
      </c>
      <c r="AG12" s="14">
        <v>0</v>
      </c>
      <c r="AH12" s="14">
        <v>8172.0301796497497</v>
      </c>
      <c r="AI12" s="14">
        <f t="shared" si="8"/>
        <v>44.946165988073631</v>
      </c>
      <c r="AJ12" s="14">
        <f t="shared" si="9"/>
        <v>-9.1306602421153755</v>
      </c>
      <c r="AK12" s="14">
        <f>SUM($AJ$3:AJ12)</f>
        <v>1.3981982276684448</v>
      </c>
      <c r="AL12" s="16">
        <v>6.8335802201970068</v>
      </c>
      <c r="AM12" s="16">
        <v>42.304552941195404</v>
      </c>
      <c r="AN12" s="16">
        <v>0</v>
      </c>
      <c r="AO12" s="16">
        <v>7686.2719703870898</v>
      </c>
      <c r="AP12" s="16">
        <f t="shared" si="10"/>
        <v>42.274495837128995</v>
      </c>
      <c r="AQ12" s="16">
        <f t="shared" si="11"/>
        <v>-6.863637324263415</v>
      </c>
      <c r="AR12" s="16">
        <f>SUM($AQ$3:AQ12)</f>
        <v>-111.17812458062733</v>
      </c>
      <c r="AS12" s="20">
        <v>7.2096684582859893</v>
      </c>
      <c r="AT12" s="20">
        <v>40.133069550777698</v>
      </c>
      <c r="AU12" s="20">
        <v>0</v>
      </c>
      <c r="AV12" s="20">
        <v>7471.0100771780699</v>
      </c>
      <c r="AW12" s="20">
        <f t="shared" si="12"/>
        <v>41.09055542447939</v>
      </c>
      <c r="AX12" s="20">
        <f t="shared" si="13"/>
        <v>-6.2521825845842969</v>
      </c>
      <c r="AY12" s="20">
        <f>SUM($AX$3:AX12)</f>
        <v>-148.76075433998054</v>
      </c>
    </row>
    <row r="13" spans="1:51" x14ac:dyDescent="0.2">
      <c r="B13">
        <v>2035</v>
      </c>
      <c r="C13" s="1">
        <v>0</v>
      </c>
      <c r="D13" s="1">
        <v>51.364267061162799</v>
      </c>
      <c r="E13" s="1">
        <v>0</v>
      </c>
      <c r="F13" s="1">
        <v>9645.0388230885092</v>
      </c>
      <c r="G13" s="1">
        <f t="shared" si="0"/>
        <v>53.047713526986797</v>
      </c>
      <c r="H13" s="1">
        <f t="shared" si="1"/>
        <v>1.683446465823998</v>
      </c>
      <c r="I13" s="1">
        <f>SUM($H$3:H13)</f>
        <v>-363.17505377936402</v>
      </c>
      <c r="J13" s="3">
        <v>0</v>
      </c>
      <c r="K13" s="3">
        <v>46.835461130429302</v>
      </c>
      <c r="L13" s="3">
        <v>0</v>
      </c>
      <c r="M13" s="3">
        <v>8849.7209606052893</v>
      </c>
      <c r="N13" s="3">
        <f t="shared" si="2"/>
        <v>48.673465283329094</v>
      </c>
      <c r="O13" s="3">
        <f t="shared" si="3"/>
        <v>1.8380041528997921</v>
      </c>
      <c r="P13" s="4">
        <f>SUM($O$3:O13)</f>
        <v>-515.43643218149862</v>
      </c>
      <c r="Q13" s="5">
        <v>0</v>
      </c>
      <c r="R13" s="5">
        <v>36.386190936957298</v>
      </c>
      <c r="S13" s="5">
        <v>0</v>
      </c>
      <c r="T13" s="5">
        <v>11078.784242804</v>
      </c>
      <c r="U13" s="5">
        <f t="shared" si="4"/>
        <v>60.933313335422</v>
      </c>
      <c r="V13" s="5">
        <f t="shared" si="5"/>
        <v>24.547122398464701</v>
      </c>
      <c r="W13" s="5">
        <f>SUM($V$3:V13)</f>
        <v>163.9638526600541</v>
      </c>
      <c r="X13" s="6">
        <v>12.500126166166979</v>
      </c>
      <c r="Y13" s="6">
        <v>36.386190936957298</v>
      </c>
      <c r="Z13" s="6">
        <v>0</v>
      </c>
      <c r="AA13" s="6">
        <v>11906.264507792601</v>
      </c>
      <c r="AB13" s="6">
        <f t="shared" si="6"/>
        <v>65.48445479285931</v>
      </c>
      <c r="AC13" s="6">
        <f t="shared" si="7"/>
        <v>16.598137689735033</v>
      </c>
      <c r="AD13" s="6">
        <f>SUM($AC$3:AC13)</f>
        <v>-628.8663289785577</v>
      </c>
      <c r="AE13" s="14">
        <v>6.0627280915360018</v>
      </c>
      <c r="AF13" s="14">
        <v>47.6009987688265</v>
      </c>
      <c r="AG13" s="14">
        <v>0</v>
      </c>
      <c r="AH13" s="14">
        <v>8332.59330209982</v>
      </c>
      <c r="AI13" s="14">
        <f t="shared" si="8"/>
        <v>45.829263161549015</v>
      </c>
      <c r="AJ13" s="14">
        <f t="shared" si="9"/>
        <v>-7.8344636988134866</v>
      </c>
      <c r="AK13" s="14">
        <f>SUM($AJ$3:AJ13)</f>
        <v>-6.4362654711450418</v>
      </c>
      <c r="AL13" s="16">
        <v>6.8335802201969784</v>
      </c>
      <c r="AM13" s="16">
        <v>41.599547250592998</v>
      </c>
      <c r="AN13" s="16">
        <v>0</v>
      </c>
      <c r="AO13" s="16">
        <v>7815.3380458921702</v>
      </c>
      <c r="AP13" s="16">
        <f t="shared" si="10"/>
        <v>42.984359252406939</v>
      </c>
      <c r="AQ13" s="16">
        <f t="shared" si="11"/>
        <v>-5.4487682183830373</v>
      </c>
      <c r="AR13" s="16">
        <f>SUM($AQ$3:AQ13)</f>
        <v>-116.62689279901036</v>
      </c>
      <c r="AS13" s="20">
        <v>7.2096684582859893</v>
      </c>
      <c r="AT13" s="20">
        <v>39.397778602908403</v>
      </c>
      <c r="AU13" s="20">
        <v>0</v>
      </c>
      <c r="AV13" s="20">
        <v>7587.56262247226</v>
      </c>
      <c r="AW13" s="20">
        <f t="shared" si="12"/>
        <v>41.731594423597436</v>
      </c>
      <c r="AX13" s="20">
        <f t="shared" si="13"/>
        <v>-4.8758526375969566</v>
      </c>
      <c r="AY13" s="20">
        <f>SUM($AX$3:AX13)</f>
        <v>-153.63660697757749</v>
      </c>
    </row>
    <row r="14" spans="1:51" x14ac:dyDescent="0.2">
      <c r="B14">
        <v>2036</v>
      </c>
      <c r="C14" s="1">
        <v>0</v>
      </c>
      <c r="D14" s="1">
        <v>51.314653899478103</v>
      </c>
      <c r="E14" s="1">
        <v>0</v>
      </c>
      <c r="F14" s="1">
        <v>9864.2877313149293</v>
      </c>
      <c r="G14" s="1">
        <f t="shared" si="0"/>
        <v>54.253582522232115</v>
      </c>
      <c r="H14" s="1">
        <f t="shared" si="1"/>
        <v>2.9389286227540126</v>
      </c>
      <c r="I14" s="1">
        <f>SUM($H$3:H14)</f>
        <v>-360.23612515661</v>
      </c>
      <c r="J14" s="3">
        <v>0</v>
      </c>
      <c r="K14" s="3">
        <v>46.678300975453901</v>
      </c>
      <c r="L14" s="3">
        <v>0</v>
      </c>
      <c r="M14" s="3">
        <v>9017.10014669681</v>
      </c>
      <c r="N14" s="3">
        <f t="shared" si="2"/>
        <v>49.594050806832456</v>
      </c>
      <c r="O14" s="3">
        <f t="shared" si="3"/>
        <v>2.9157498313785553</v>
      </c>
      <c r="P14" s="3">
        <f>SUM($O$3:O14)</f>
        <v>-512.52068235012007</v>
      </c>
      <c r="Q14" s="5">
        <v>0</v>
      </c>
      <c r="R14" s="5">
        <v>36.091530957782197</v>
      </c>
      <c r="S14" s="5">
        <v>0</v>
      </c>
      <c r="T14" s="5">
        <v>11226.075593746</v>
      </c>
      <c r="U14" s="5">
        <f t="shared" si="4"/>
        <v>61.743415765603004</v>
      </c>
      <c r="V14" s="5">
        <f t="shared" si="5"/>
        <v>25.651884807820807</v>
      </c>
      <c r="W14" s="5">
        <f>SUM($V$3:V14)</f>
        <v>189.61573746787491</v>
      </c>
      <c r="X14" s="6">
        <v>12.859918715842014</v>
      </c>
      <c r="Y14" s="6">
        <v>36.091530957782197</v>
      </c>
      <c r="Z14" s="6">
        <v>0</v>
      </c>
      <c r="AA14" s="6">
        <v>12066.4157774504</v>
      </c>
      <c r="AB14" s="6">
        <f t="shared" si="6"/>
        <v>66.365286775977196</v>
      </c>
      <c r="AC14" s="6">
        <f t="shared" si="7"/>
        <v>17.413837102352986</v>
      </c>
      <c r="AD14" s="6">
        <f>SUM($AC$3:AC14)</f>
        <v>-611.4524918762047</v>
      </c>
      <c r="AE14" s="14">
        <v>8.0493621725590003</v>
      </c>
      <c r="AF14" s="14">
        <v>47.644957199929202</v>
      </c>
      <c r="AG14" s="14">
        <v>0</v>
      </c>
      <c r="AH14" s="14">
        <v>8523.6634574276795</v>
      </c>
      <c r="AI14" s="14">
        <f t="shared" si="8"/>
        <v>46.88014901585224</v>
      </c>
      <c r="AJ14" s="14">
        <f t="shared" si="9"/>
        <v>-8.8141703566359624</v>
      </c>
      <c r="AK14" s="14">
        <f>SUM($AJ$3:AJ14)</f>
        <v>-15.250435827781004</v>
      </c>
      <c r="AL14" s="16">
        <v>8.8827070276380198</v>
      </c>
      <c r="AM14" s="16">
        <v>41.442528923968901</v>
      </c>
      <c r="AN14" s="16">
        <v>0</v>
      </c>
      <c r="AO14" s="16">
        <v>7970.7027455392099</v>
      </c>
      <c r="AP14" s="16">
        <f t="shared" si="10"/>
        <v>43.838865100465654</v>
      </c>
      <c r="AQ14" s="16">
        <f t="shared" si="11"/>
        <v>-6.4863708511412668</v>
      </c>
      <c r="AR14" s="16">
        <f>SUM($AQ$3:AQ14)</f>
        <v>-123.11326365015162</v>
      </c>
      <c r="AS14" s="20">
        <v>9.2619334054600131</v>
      </c>
      <c r="AT14" s="20">
        <v>39.177191146509202</v>
      </c>
      <c r="AU14" s="20">
        <v>0</v>
      </c>
      <c r="AV14" s="20">
        <v>7729.4464864784404</v>
      </c>
      <c r="AW14" s="20">
        <f t="shared" si="12"/>
        <v>42.511955675631427</v>
      </c>
      <c r="AX14" s="20">
        <f t="shared" si="13"/>
        <v>-5.9271688763377881</v>
      </c>
      <c r="AY14" s="20">
        <f>SUM($AX$3:AX14)</f>
        <v>-159.56377585391527</v>
      </c>
    </row>
    <row r="15" spans="1:51" x14ac:dyDescent="0.2">
      <c r="B15">
        <v>2037</v>
      </c>
      <c r="C15" s="1">
        <v>0</v>
      </c>
      <c r="D15" s="1">
        <v>51.265040737793399</v>
      </c>
      <c r="E15" s="1">
        <v>0</v>
      </c>
      <c r="F15" s="1">
        <v>10083.5366395414</v>
      </c>
      <c r="G15" s="1">
        <f t="shared" si="0"/>
        <v>55.459451517477703</v>
      </c>
      <c r="H15" s="1">
        <f t="shared" si="1"/>
        <v>4.1944107796843042</v>
      </c>
      <c r="I15" s="1">
        <f>SUM($H$3:H15)</f>
        <v>-356.04171437692571</v>
      </c>
      <c r="J15" s="3">
        <v>0</v>
      </c>
      <c r="K15" s="3">
        <v>46.5211408204785</v>
      </c>
      <c r="L15" s="3">
        <v>0</v>
      </c>
      <c r="M15" s="3">
        <v>9184.4793327883308</v>
      </c>
      <c r="N15" s="3">
        <f t="shared" si="2"/>
        <v>50.514636330335826</v>
      </c>
      <c r="O15" s="3">
        <f t="shared" si="3"/>
        <v>3.9934955098573255</v>
      </c>
      <c r="P15" s="3">
        <f>SUM($O$3:O15)</f>
        <v>-508.52718684026274</v>
      </c>
      <c r="Q15" s="5">
        <v>0</v>
      </c>
      <c r="R15" s="5">
        <v>35.796870978607103</v>
      </c>
      <c r="S15" s="5">
        <v>0</v>
      </c>
      <c r="T15" s="5">
        <v>11373.366944687999</v>
      </c>
      <c r="U15" s="5">
        <f t="shared" si="4"/>
        <v>62.553518195784001</v>
      </c>
      <c r="V15" s="5">
        <f t="shared" si="5"/>
        <v>26.756647217176898</v>
      </c>
      <c r="W15" s="5">
        <f>SUM($V$3:V15)</f>
        <v>216.3723846850518</v>
      </c>
      <c r="X15" s="6">
        <v>12.85991871584099</v>
      </c>
      <c r="Y15" s="6">
        <v>35.796870978607103</v>
      </c>
      <c r="Z15" s="6">
        <v>0</v>
      </c>
      <c r="AA15" s="6">
        <v>12226.567047108199</v>
      </c>
      <c r="AB15" s="6">
        <f t="shared" si="6"/>
        <v>67.246118759095097</v>
      </c>
      <c r="AC15" s="6">
        <f t="shared" si="7"/>
        <v>18.589329064647004</v>
      </c>
      <c r="AD15" s="6">
        <f>SUM($AC$3:AC15)</f>
        <v>-592.86316281155769</v>
      </c>
      <c r="AE15" s="14">
        <v>8.0493621725590003</v>
      </c>
      <c r="AF15" s="14">
        <v>47.688915631031797</v>
      </c>
      <c r="AG15" s="14">
        <v>0</v>
      </c>
      <c r="AH15" s="14">
        <v>8714.7336127555409</v>
      </c>
      <c r="AI15" s="14">
        <f t="shared" si="8"/>
        <v>47.931034870155479</v>
      </c>
      <c r="AJ15" s="14">
        <f t="shared" si="9"/>
        <v>-7.8072429334353188</v>
      </c>
      <c r="AK15" s="14">
        <f>SUM($AJ$3:AJ15)</f>
        <v>-23.057678761216323</v>
      </c>
      <c r="AL15" s="16">
        <v>8.8827070276379914</v>
      </c>
      <c r="AM15" s="16">
        <v>41.285510597344803</v>
      </c>
      <c r="AN15" s="16">
        <v>0</v>
      </c>
      <c r="AO15" s="16">
        <v>8126.0674451862496</v>
      </c>
      <c r="AP15" s="16">
        <f t="shared" si="10"/>
        <v>44.693370948524375</v>
      </c>
      <c r="AQ15" s="16">
        <f t="shared" si="11"/>
        <v>-5.4748466764584194</v>
      </c>
      <c r="AR15" s="16">
        <f>SUM($AQ$3:AQ15)</f>
        <v>-128.58811032661004</v>
      </c>
      <c r="AS15" s="20">
        <v>9.2619334054600131</v>
      </c>
      <c r="AT15" s="20">
        <v>38.956603690109901</v>
      </c>
      <c r="AU15" s="20">
        <v>0</v>
      </c>
      <c r="AV15" s="20">
        <v>7871.3303504846299</v>
      </c>
      <c r="AW15" s="20">
        <f t="shared" si="12"/>
        <v>43.292316927665468</v>
      </c>
      <c r="AX15" s="20">
        <f t="shared" si="13"/>
        <v>-4.9262201679044466</v>
      </c>
      <c r="AY15" s="20">
        <f>SUM($AX$3:AX15)</f>
        <v>-164.48999602181971</v>
      </c>
    </row>
    <row r="16" spans="1:51" x14ac:dyDescent="0.2">
      <c r="B16">
        <v>2038</v>
      </c>
      <c r="C16" s="1">
        <v>0</v>
      </c>
      <c r="D16" s="1">
        <v>51.215427576108702</v>
      </c>
      <c r="E16" s="1">
        <v>0</v>
      </c>
      <c r="F16" s="1">
        <v>10302.7855477678</v>
      </c>
      <c r="G16" s="1">
        <f t="shared" si="0"/>
        <v>56.665320512722907</v>
      </c>
      <c r="H16" s="1">
        <f t="shared" si="1"/>
        <v>5.449892936614205</v>
      </c>
      <c r="I16" s="1">
        <f>SUM($H$3:H16)</f>
        <v>-350.59182144031149</v>
      </c>
      <c r="J16" s="3">
        <v>0</v>
      </c>
      <c r="K16" s="3">
        <v>46.363980665503</v>
      </c>
      <c r="L16" s="3">
        <v>0</v>
      </c>
      <c r="M16" s="3">
        <v>9351.8585188798497</v>
      </c>
      <c r="N16" s="3">
        <f t="shared" si="2"/>
        <v>51.435221853839181</v>
      </c>
      <c r="O16" s="3">
        <f t="shared" si="3"/>
        <v>5.071241188336181</v>
      </c>
      <c r="P16" s="3">
        <f>SUM($O$3:O16)</f>
        <v>-503.45594565192658</v>
      </c>
      <c r="Q16" s="5">
        <v>0</v>
      </c>
      <c r="R16" s="5">
        <v>35.502210999432002</v>
      </c>
      <c r="S16" s="5">
        <v>0</v>
      </c>
      <c r="T16" s="5">
        <v>11520.658295630001</v>
      </c>
      <c r="U16" s="5">
        <f t="shared" si="4"/>
        <v>63.363620625965012</v>
      </c>
      <c r="V16" s="5">
        <f t="shared" si="5"/>
        <v>27.86140962653301</v>
      </c>
      <c r="W16" s="5">
        <f>SUM($V$3:V16)</f>
        <v>244.2337943115848</v>
      </c>
      <c r="X16" s="6">
        <v>12.859918715842014</v>
      </c>
      <c r="Y16" s="6">
        <v>35.502210999432002</v>
      </c>
      <c r="Z16" s="6">
        <v>0</v>
      </c>
      <c r="AA16" s="6">
        <v>12386.718316766101</v>
      </c>
      <c r="AB16" s="6">
        <f t="shared" si="6"/>
        <v>68.126950742213566</v>
      </c>
      <c r="AC16" s="6">
        <f t="shared" si="7"/>
        <v>19.764821026939551</v>
      </c>
      <c r="AD16" s="6">
        <f>SUM($AC$3:AC16)</f>
        <v>-573.09834178461813</v>
      </c>
      <c r="AE16" s="14">
        <v>8.0493621725599951</v>
      </c>
      <c r="AF16" s="14">
        <v>47.7328740621344</v>
      </c>
      <c r="AG16" s="14">
        <v>0</v>
      </c>
      <c r="AH16" s="14">
        <v>8905.8037680834004</v>
      </c>
      <c r="AI16" s="14">
        <f t="shared" si="8"/>
        <v>48.981920724458703</v>
      </c>
      <c r="AJ16" s="14">
        <f t="shared" si="9"/>
        <v>-6.8003155102356914</v>
      </c>
      <c r="AK16" s="14">
        <f>SUM($AJ$3:AJ16)</f>
        <v>-29.857994271452014</v>
      </c>
      <c r="AL16" s="16">
        <v>8.8827070276379914</v>
      </c>
      <c r="AM16" s="16">
        <v>41.128492270720798</v>
      </c>
      <c r="AN16" s="16">
        <v>0</v>
      </c>
      <c r="AO16" s="16">
        <v>8281.4321448332903</v>
      </c>
      <c r="AP16" s="16">
        <f t="shared" si="10"/>
        <v>45.547876796583097</v>
      </c>
      <c r="AQ16" s="16">
        <f t="shared" si="11"/>
        <v>-4.4633225017756928</v>
      </c>
      <c r="AR16" s="16">
        <f>SUM($AQ$3:AQ16)</f>
        <v>-133.05143282838571</v>
      </c>
      <c r="AS16" s="20">
        <v>9.2619334054599847</v>
      </c>
      <c r="AT16" s="20">
        <v>38.7360162337106</v>
      </c>
      <c r="AU16" s="20">
        <v>0</v>
      </c>
      <c r="AV16" s="20">
        <v>8013.2142144908203</v>
      </c>
      <c r="AW16" s="20">
        <f t="shared" si="12"/>
        <v>44.072678179699516</v>
      </c>
      <c r="AX16" s="20">
        <f t="shared" si="13"/>
        <v>-3.9252714594710696</v>
      </c>
      <c r="AY16" s="20">
        <f>SUM($AX$3:AX16)</f>
        <v>-168.41526748129078</v>
      </c>
    </row>
    <row r="17" spans="2:51" x14ac:dyDescent="0.2">
      <c r="B17">
        <v>2039</v>
      </c>
      <c r="C17" s="1">
        <v>0</v>
      </c>
      <c r="D17" s="1">
        <v>51.165814414423998</v>
      </c>
      <c r="E17" s="1">
        <v>0</v>
      </c>
      <c r="F17" s="1">
        <v>10522.0344559942</v>
      </c>
      <c r="G17" s="1">
        <f t="shared" si="0"/>
        <v>57.871189507968111</v>
      </c>
      <c r="H17" s="1">
        <f t="shared" si="1"/>
        <v>6.705375093544113</v>
      </c>
      <c r="I17" s="1">
        <f>SUM($H$3:H17)</f>
        <v>-343.8864463467674</v>
      </c>
      <c r="J17" s="3">
        <v>0</v>
      </c>
      <c r="K17" s="3">
        <v>46.206820510527599</v>
      </c>
      <c r="L17" s="3">
        <v>0</v>
      </c>
      <c r="M17" s="3">
        <v>9519.2377049713705</v>
      </c>
      <c r="N17" s="3">
        <f t="shared" si="2"/>
        <v>52.355807377342536</v>
      </c>
      <c r="O17" s="3">
        <f t="shared" si="3"/>
        <v>6.148986866814937</v>
      </c>
      <c r="P17" s="3">
        <f>SUM($O$3:O17)</f>
        <v>-497.30695878511165</v>
      </c>
      <c r="Q17" s="5">
        <v>0</v>
      </c>
      <c r="R17" s="5">
        <v>35.207551020257</v>
      </c>
      <c r="S17" s="5">
        <v>0</v>
      </c>
      <c r="T17" s="5">
        <v>11667.949646572</v>
      </c>
      <c r="U17" s="5">
        <f t="shared" si="4"/>
        <v>64.173723056146002</v>
      </c>
      <c r="V17" s="5">
        <f t="shared" si="5"/>
        <v>28.966172035889002</v>
      </c>
      <c r="W17" s="5">
        <f>SUM($V$3:V17)</f>
        <v>273.19996634747383</v>
      </c>
      <c r="X17" s="6">
        <v>12.859918715843037</v>
      </c>
      <c r="Y17" s="6">
        <v>35.207551020257</v>
      </c>
      <c r="Z17" s="6">
        <v>0</v>
      </c>
      <c r="AA17" s="6">
        <v>12546.8695864239</v>
      </c>
      <c r="AB17" s="6">
        <f t="shared" si="6"/>
        <v>69.007782725331452</v>
      </c>
      <c r="AC17" s="6">
        <f t="shared" si="7"/>
        <v>20.940312989231415</v>
      </c>
      <c r="AD17" s="6">
        <f>SUM($AC$3:AC17)</f>
        <v>-552.15802879538671</v>
      </c>
      <c r="AE17" s="14">
        <v>8.0493621725590003</v>
      </c>
      <c r="AF17" s="14">
        <v>47.776832493237102</v>
      </c>
      <c r="AG17" s="14">
        <v>0</v>
      </c>
      <c r="AH17" s="14">
        <v>9096.8739234112509</v>
      </c>
      <c r="AI17" s="14">
        <f t="shared" si="8"/>
        <v>50.032806578761885</v>
      </c>
      <c r="AJ17" s="14">
        <f t="shared" si="9"/>
        <v>-5.7933880870342165</v>
      </c>
      <c r="AK17" s="14">
        <f>SUM($AJ$3:AJ17)</f>
        <v>-35.651382358486231</v>
      </c>
      <c r="AL17" s="16">
        <v>8.8827070276380198</v>
      </c>
      <c r="AM17" s="16">
        <v>40.971473944096701</v>
      </c>
      <c r="AN17" s="16">
        <v>0</v>
      </c>
      <c r="AO17" s="16">
        <v>8436.79684448033</v>
      </c>
      <c r="AP17" s="16">
        <f t="shared" si="10"/>
        <v>46.402382644641818</v>
      </c>
      <c r="AQ17" s="16">
        <f t="shared" si="11"/>
        <v>-3.4517983270929022</v>
      </c>
      <c r="AR17" s="16">
        <f>SUM($AQ$3:AQ17)</f>
        <v>-136.5032311554786</v>
      </c>
      <c r="AS17" s="20">
        <v>9.2619334054600131</v>
      </c>
      <c r="AT17" s="20">
        <v>38.515428777311399</v>
      </c>
      <c r="AU17" s="20">
        <v>0</v>
      </c>
      <c r="AV17" s="20">
        <v>8155.0980784969997</v>
      </c>
      <c r="AW17" s="20">
        <f t="shared" si="12"/>
        <v>44.853039431733499</v>
      </c>
      <c r="AX17" s="20">
        <f t="shared" si="13"/>
        <v>-2.9243227510379128</v>
      </c>
      <c r="AY17" s="20">
        <f>SUM($AX$3:AX17)</f>
        <v>-171.3395902323287</v>
      </c>
    </row>
    <row r="18" spans="2:51" x14ac:dyDescent="0.2">
      <c r="B18">
        <v>2040</v>
      </c>
      <c r="C18" s="1">
        <v>0</v>
      </c>
      <c r="D18" s="1">
        <v>51.116201252739202</v>
      </c>
      <c r="E18" s="1">
        <v>0</v>
      </c>
      <c r="F18" s="1">
        <v>10741.283364220601</v>
      </c>
      <c r="G18" s="1">
        <f t="shared" si="0"/>
        <v>59.077058503213301</v>
      </c>
      <c r="H18" s="1">
        <f t="shared" si="1"/>
        <v>7.9608572504740991</v>
      </c>
      <c r="I18" s="1">
        <f>SUM($H$3:H18)</f>
        <v>-335.92558909629332</v>
      </c>
      <c r="J18" s="3">
        <v>0</v>
      </c>
      <c r="K18" s="3">
        <v>46.049660355552199</v>
      </c>
      <c r="L18" s="3">
        <v>0</v>
      </c>
      <c r="M18" s="3">
        <v>9686.6168910628803</v>
      </c>
      <c r="N18" s="3">
        <f t="shared" si="2"/>
        <v>53.276392900845842</v>
      </c>
      <c r="O18" s="3">
        <f t="shared" si="3"/>
        <v>7.2267325452936433</v>
      </c>
      <c r="P18" s="3">
        <f>SUM($O$3:O18)</f>
        <v>-490.08022623981799</v>
      </c>
      <c r="Q18" s="5">
        <v>0</v>
      </c>
      <c r="R18" s="5">
        <v>34.912891041081899</v>
      </c>
      <c r="S18" s="5">
        <v>0</v>
      </c>
      <c r="T18" s="5">
        <v>11815.240997514</v>
      </c>
      <c r="U18" s="5">
        <f t="shared" si="4"/>
        <v>64.983825486327007</v>
      </c>
      <c r="V18" s="5">
        <f t="shared" si="5"/>
        <v>30.070934445245108</v>
      </c>
      <c r="W18" s="5">
        <f>SUM($V$3:V18)</f>
        <v>303.27090079271892</v>
      </c>
      <c r="X18" s="6">
        <v>12.859918715842014</v>
      </c>
      <c r="Y18" s="6">
        <v>34.912891041081899</v>
      </c>
      <c r="Z18" s="6">
        <v>0</v>
      </c>
      <c r="AA18" s="6">
        <v>12707.020856081699</v>
      </c>
      <c r="AB18" s="6">
        <f t="shared" si="6"/>
        <v>69.888614708449353</v>
      </c>
      <c r="AC18" s="6">
        <f t="shared" si="7"/>
        <v>22.11580495152544</v>
      </c>
      <c r="AD18" s="6">
        <f>SUM($AC$3:AC18)</f>
        <v>-530.04222384386128</v>
      </c>
      <c r="AE18" s="14">
        <v>8.0493621725599951</v>
      </c>
      <c r="AF18" s="14">
        <v>47.820790924339697</v>
      </c>
      <c r="AG18" s="14">
        <v>0</v>
      </c>
      <c r="AH18" s="14">
        <v>9287.9440787391104</v>
      </c>
      <c r="AI18" s="14">
        <f t="shared" si="8"/>
        <v>51.08369243306511</v>
      </c>
      <c r="AJ18" s="14">
        <f t="shared" si="9"/>
        <v>-4.7864606638345819</v>
      </c>
      <c r="AK18" s="14">
        <f>SUM($AJ$3:AJ18)</f>
        <v>-40.437843022320813</v>
      </c>
      <c r="AL18" s="16">
        <v>8.8827070276379914</v>
      </c>
      <c r="AM18" s="16">
        <v>40.814455617472603</v>
      </c>
      <c r="AN18" s="16">
        <v>0</v>
      </c>
      <c r="AO18" s="16">
        <v>8592.1615441273698</v>
      </c>
      <c r="AP18" s="16">
        <f t="shared" si="10"/>
        <v>47.25688849270054</v>
      </c>
      <c r="AQ18" s="16">
        <f t="shared" si="11"/>
        <v>-2.4402741524100549</v>
      </c>
      <c r="AR18" s="16">
        <f>SUM($AQ$3:AQ18)</f>
        <v>-138.94350530788864</v>
      </c>
      <c r="AS18" s="20">
        <v>9.2619334054609794</v>
      </c>
      <c r="AT18" s="20">
        <v>38.294841320912099</v>
      </c>
      <c r="AU18" s="20">
        <v>0</v>
      </c>
      <c r="AV18" s="20">
        <v>8296.9819425031892</v>
      </c>
      <c r="AW18" s="20">
        <f t="shared" si="12"/>
        <v>45.633400683767547</v>
      </c>
      <c r="AX18" s="20">
        <f t="shared" si="13"/>
        <v>-1.9233740426055306</v>
      </c>
      <c r="AY18" s="20">
        <f>SUM($AX$3:AX18)</f>
        <v>-173.26296427493423</v>
      </c>
    </row>
    <row r="19" spans="2:51" x14ac:dyDescent="0.2">
      <c r="B19">
        <v>2041</v>
      </c>
      <c r="C19" s="1">
        <v>0</v>
      </c>
      <c r="D19" s="1">
        <v>51.207983140048199</v>
      </c>
      <c r="E19" s="1">
        <v>0</v>
      </c>
      <c r="F19" s="1">
        <v>10993.6169029097</v>
      </c>
      <c r="G19" s="1">
        <f t="shared" si="0"/>
        <v>60.464892966003362</v>
      </c>
      <c r="H19" s="1">
        <f t="shared" si="1"/>
        <v>9.2569098259551623</v>
      </c>
      <c r="I19" s="1">
        <f>SUM($H$3:H19)</f>
        <v>-326.66867927033815</v>
      </c>
      <c r="J19" s="3">
        <v>0</v>
      </c>
      <c r="K19" s="3">
        <v>46.061557963445502</v>
      </c>
      <c r="L19" s="3">
        <v>0</v>
      </c>
      <c r="M19" s="3">
        <v>9876.0248935866803</v>
      </c>
      <c r="N19" s="3">
        <f t="shared" si="2"/>
        <v>54.31813691472675</v>
      </c>
      <c r="O19" s="3">
        <f t="shared" si="3"/>
        <v>8.2565789512812486</v>
      </c>
      <c r="P19" s="3">
        <f>SUM($O$3:O19)</f>
        <v>-481.82364728853673</v>
      </c>
      <c r="Q19" s="5">
        <v>0</v>
      </c>
      <c r="R19" s="5">
        <v>34.501288143185697</v>
      </c>
      <c r="S19" s="5">
        <v>0</v>
      </c>
      <c r="T19" s="5">
        <v>11959.268783883899</v>
      </c>
      <c r="U19" s="5">
        <f t="shared" si="4"/>
        <v>65.775978311361456</v>
      </c>
      <c r="V19" s="5">
        <f t="shared" si="5"/>
        <v>31.274690168175759</v>
      </c>
      <c r="W19" s="5">
        <f>SUM($V$3:V19)</f>
        <v>334.54559096089469</v>
      </c>
      <c r="X19" s="6">
        <v>18.42838585423101</v>
      </c>
      <c r="Y19" s="6">
        <v>34.501288143185697</v>
      </c>
      <c r="Z19" s="6">
        <v>0</v>
      </c>
      <c r="AA19" s="6">
        <v>12869.477028305801</v>
      </c>
      <c r="AB19" s="6">
        <f t="shared" si="6"/>
        <v>70.7821236556819</v>
      </c>
      <c r="AC19" s="6">
        <f t="shared" si="7"/>
        <v>17.852449658265193</v>
      </c>
      <c r="AD19" s="6">
        <f>SUM($AC$3:AC19)</f>
        <v>-512.18977418559609</v>
      </c>
      <c r="AE19" s="14">
        <v>10.250056029846007</v>
      </c>
      <c r="AF19" s="14">
        <v>48.003298590341203</v>
      </c>
      <c r="AG19" s="14">
        <v>0</v>
      </c>
      <c r="AH19" s="14">
        <v>9515.2284364268708</v>
      </c>
      <c r="AI19" s="14">
        <f t="shared" si="8"/>
        <v>52.333756400347795</v>
      </c>
      <c r="AJ19" s="14">
        <f t="shared" si="9"/>
        <v>-5.9195982198394148</v>
      </c>
      <c r="AK19" s="14">
        <f>SUM($AJ$3:AJ19)</f>
        <v>-46.357441242160228</v>
      </c>
      <c r="AL19" s="16">
        <v>11.200737864447007</v>
      </c>
      <c r="AM19" s="16">
        <v>40.634985167706901</v>
      </c>
      <c r="AN19" s="16">
        <v>0</v>
      </c>
      <c r="AO19" s="16">
        <v>8777.7441776952001</v>
      </c>
      <c r="AP19" s="16">
        <f t="shared" si="10"/>
        <v>48.2775929773236</v>
      </c>
      <c r="AQ19" s="16">
        <f t="shared" si="11"/>
        <v>-3.5581300548303076</v>
      </c>
      <c r="AR19" s="16">
        <f>SUM($AQ$3:AQ19)</f>
        <v>-142.50163536271896</v>
      </c>
      <c r="AS19" s="20">
        <v>11.638000994297016</v>
      </c>
      <c r="AT19" s="20">
        <v>38.023667302020897</v>
      </c>
      <c r="AU19" s="20">
        <v>0</v>
      </c>
      <c r="AV19" s="20">
        <v>8467.8816170176706</v>
      </c>
      <c r="AW19" s="20">
        <f t="shared" si="12"/>
        <v>46.573348893597192</v>
      </c>
      <c r="AX19" s="20">
        <f t="shared" si="13"/>
        <v>-3.088319402720721</v>
      </c>
      <c r="AY19" s="20">
        <f>SUM($AX$3:AX19)</f>
        <v>-176.35128367765495</v>
      </c>
    </row>
    <row r="20" spans="2:51" x14ac:dyDescent="0.2">
      <c r="B20">
        <v>2042</v>
      </c>
      <c r="C20" s="1">
        <v>0</v>
      </c>
      <c r="D20" s="1">
        <v>51.299765027357097</v>
      </c>
      <c r="E20" s="1">
        <v>0</v>
      </c>
      <c r="F20" s="1">
        <v>11245.950441598799</v>
      </c>
      <c r="G20" s="1">
        <f t="shared" si="0"/>
        <v>61.852727428793401</v>
      </c>
      <c r="H20" s="1">
        <f t="shared" si="1"/>
        <v>10.552962401436304</v>
      </c>
      <c r="I20" s="1">
        <f>SUM($H$3:H20)</f>
        <v>-316.11571686890181</v>
      </c>
      <c r="J20" s="3">
        <v>0</v>
      </c>
      <c r="K20" s="3">
        <v>46.073455571338798</v>
      </c>
      <c r="L20" s="3">
        <v>0</v>
      </c>
      <c r="M20" s="3">
        <v>10065.4328961105</v>
      </c>
      <c r="N20" s="3">
        <f t="shared" si="2"/>
        <v>55.359880928607758</v>
      </c>
      <c r="O20" s="3">
        <f t="shared" si="3"/>
        <v>9.2864253572689606</v>
      </c>
      <c r="P20" s="3">
        <f>SUM($O$3:O20)</f>
        <v>-472.53722193126777</v>
      </c>
      <c r="Q20" s="5">
        <v>0</v>
      </c>
      <c r="R20" s="5">
        <v>34.089685245289502</v>
      </c>
      <c r="S20" s="5">
        <v>0</v>
      </c>
      <c r="T20" s="5">
        <v>12103.2965702537</v>
      </c>
      <c r="U20" s="5">
        <f t="shared" si="4"/>
        <v>66.568131136395365</v>
      </c>
      <c r="V20" s="5">
        <f t="shared" si="5"/>
        <v>32.478445891105864</v>
      </c>
      <c r="W20" s="5">
        <f>SUM($V$3:V20)</f>
        <v>367.02403685200056</v>
      </c>
      <c r="X20" s="6">
        <v>18.428385854228964</v>
      </c>
      <c r="Y20" s="6">
        <v>34.089685245289502</v>
      </c>
      <c r="Z20" s="6">
        <v>0</v>
      </c>
      <c r="AA20" s="6">
        <v>13031.9332005299</v>
      </c>
      <c r="AB20" s="6">
        <f t="shared" si="6"/>
        <v>71.675632602914447</v>
      </c>
      <c r="AC20" s="6">
        <f t="shared" si="7"/>
        <v>19.157561503395982</v>
      </c>
      <c r="AD20" s="6">
        <f>SUM($AC$3:AC20)</f>
        <v>-493.03221268220011</v>
      </c>
      <c r="AE20" s="14">
        <v>10.250056029847002</v>
      </c>
      <c r="AF20" s="14">
        <v>48.185806256342801</v>
      </c>
      <c r="AG20" s="14">
        <v>0</v>
      </c>
      <c r="AH20" s="14">
        <v>9742.5127941146293</v>
      </c>
      <c r="AI20" s="14">
        <f t="shared" si="8"/>
        <v>53.583820367630466</v>
      </c>
      <c r="AJ20" s="14">
        <f t="shared" si="9"/>
        <v>-4.8520419185593369</v>
      </c>
      <c r="AK20" s="14">
        <f>SUM($AJ$3:AJ20)</f>
        <v>-51.209483160719564</v>
      </c>
      <c r="AL20" s="16">
        <v>11.200737864448001</v>
      </c>
      <c r="AM20" s="16">
        <v>40.455514717941199</v>
      </c>
      <c r="AN20" s="16">
        <v>0</v>
      </c>
      <c r="AO20" s="16">
        <v>8963.3268112630194</v>
      </c>
      <c r="AP20" s="16">
        <f t="shared" si="10"/>
        <v>49.298297461946611</v>
      </c>
      <c r="AQ20" s="16">
        <f t="shared" si="11"/>
        <v>-2.3579551204425897</v>
      </c>
      <c r="AR20" s="16">
        <f>SUM($AQ$3:AQ20)</f>
        <v>-144.85959048316155</v>
      </c>
      <c r="AS20" s="20">
        <v>11.638000994297983</v>
      </c>
      <c r="AT20" s="20">
        <v>37.752493283129603</v>
      </c>
      <c r="AU20" s="20">
        <v>0</v>
      </c>
      <c r="AV20" s="20">
        <v>8638.7812915321501</v>
      </c>
      <c r="AW20" s="20">
        <f t="shared" si="12"/>
        <v>47.513297103426829</v>
      </c>
      <c r="AX20" s="20">
        <f t="shared" si="13"/>
        <v>-1.8771971740007558</v>
      </c>
      <c r="AY20" s="20">
        <f>SUM($AX$3:AX20)</f>
        <v>-178.22848085165572</v>
      </c>
    </row>
    <row r="21" spans="2:51" x14ac:dyDescent="0.2">
      <c r="B21">
        <v>2043</v>
      </c>
      <c r="C21" s="1">
        <v>0</v>
      </c>
      <c r="D21" s="1">
        <v>51.391546914666101</v>
      </c>
      <c r="E21" s="1">
        <v>0</v>
      </c>
      <c r="F21" s="1">
        <v>11498.283980287801</v>
      </c>
      <c r="G21" s="1">
        <f t="shared" si="0"/>
        <v>63.2405618915829</v>
      </c>
      <c r="H21" s="1">
        <f t="shared" si="1"/>
        <v>11.849014976916799</v>
      </c>
      <c r="I21" s="1">
        <f>SUM($H$3:H21)</f>
        <v>-304.26670189198501</v>
      </c>
      <c r="J21" s="3">
        <v>0</v>
      </c>
      <c r="K21" s="3">
        <v>46.0853531792322</v>
      </c>
      <c r="L21" s="3">
        <v>0</v>
      </c>
      <c r="M21" s="3">
        <v>10254.8408986343</v>
      </c>
      <c r="N21" s="3">
        <f t="shared" si="2"/>
        <v>56.401624942488652</v>
      </c>
      <c r="O21" s="3">
        <f t="shared" si="3"/>
        <v>10.316271763256452</v>
      </c>
      <c r="P21" s="3">
        <f>SUM($O$3:O21)</f>
        <v>-462.22095016801131</v>
      </c>
      <c r="Q21" s="5">
        <v>0</v>
      </c>
      <c r="R21" s="5">
        <v>33.6780823473932</v>
      </c>
      <c r="S21" s="5">
        <v>0</v>
      </c>
      <c r="T21" s="5">
        <v>12247.3243566236</v>
      </c>
      <c r="U21" s="5">
        <f t="shared" si="4"/>
        <v>67.360283961429801</v>
      </c>
      <c r="V21" s="5">
        <f t="shared" si="5"/>
        <v>33.6822016140366</v>
      </c>
      <c r="W21" s="5">
        <f>SUM($V$3:V21)</f>
        <v>400.70623846603718</v>
      </c>
      <c r="X21" s="6">
        <v>18.428385854228054</v>
      </c>
      <c r="Y21" s="6">
        <v>33.6780823473932</v>
      </c>
      <c r="Z21" s="6">
        <v>0</v>
      </c>
      <c r="AA21" s="6">
        <v>13194.389372754</v>
      </c>
      <c r="AB21" s="6">
        <f t="shared" si="6"/>
        <v>72.569141550147009</v>
      </c>
      <c r="AC21" s="6">
        <f t="shared" si="7"/>
        <v>20.462673348525755</v>
      </c>
      <c r="AD21" s="6">
        <f>SUM($AC$3:AC21)</f>
        <v>-472.56953933367436</v>
      </c>
      <c r="AE21" s="14">
        <v>10.250056029847002</v>
      </c>
      <c r="AF21" s="14">
        <v>48.368313922344399</v>
      </c>
      <c r="AG21" s="14">
        <v>0</v>
      </c>
      <c r="AH21" s="14">
        <v>9969.7971518024005</v>
      </c>
      <c r="AI21" s="14">
        <f t="shared" si="8"/>
        <v>54.833884334913208</v>
      </c>
      <c r="AJ21" s="14">
        <f t="shared" si="9"/>
        <v>-3.7844856172781931</v>
      </c>
      <c r="AK21" s="14">
        <f>SUM($AJ$3:AJ21)</f>
        <v>-54.993968777997758</v>
      </c>
      <c r="AL21" s="16">
        <v>11.200737864448001</v>
      </c>
      <c r="AM21" s="16">
        <v>40.276044268175497</v>
      </c>
      <c r="AN21" s="16">
        <v>0</v>
      </c>
      <c r="AO21" s="16">
        <v>9148.9094448308406</v>
      </c>
      <c r="AP21" s="16">
        <f t="shared" si="10"/>
        <v>50.319001946569628</v>
      </c>
      <c r="AQ21" s="16">
        <f t="shared" si="11"/>
        <v>-1.1577801860538699</v>
      </c>
      <c r="AR21" s="16">
        <f>SUM($AQ$3:AQ21)</f>
        <v>-146.01737066921544</v>
      </c>
      <c r="AS21" s="20">
        <v>11.638000994297016</v>
      </c>
      <c r="AT21" s="20">
        <v>37.481319264238401</v>
      </c>
      <c r="AU21" s="20">
        <v>0</v>
      </c>
      <c r="AV21" s="20">
        <v>8809.6809660466406</v>
      </c>
      <c r="AW21" s="20">
        <f t="shared" si="12"/>
        <v>48.453245313256531</v>
      </c>
      <c r="AX21" s="20">
        <f t="shared" si="13"/>
        <v>-0.66607494527888633</v>
      </c>
      <c r="AY21" s="20">
        <f>SUM($AX$3:AX21)</f>
        <v>-178.89455579693461</v>
      </c>
    </row>
    <row r="22" spans="2:51" x14ac:dyDescent="0.2">
      <c r="B22">
        <v>2044</v>
      </c>
      <c r="C22" s="1">
        <v>0</v>
      </c>
      <c r="D22" s="1">
        <v>51.483328801974999</v>
      </c>
      <c r="E22" s="1">
        <v>0</v>
      </c>
      <c r="F22" s="1">
        <v>11750.6175189769</v>
      </c>
      <c r="G22" s="1">
        <f t="shared" si="0"/>
        <v>64.628396354372953</v>
      </c>
      <c r="H22" s="1">
        <f t="shared" si="1"/>
        <v>13.145067552397954</v>
      </c>
      <c r="I22" s="1">
        <f>SUM($H$3:H22)</f>
        <v>-291.12163433958705</v>
      </c>
      <c r="J22" s="3">
        <v>0</v>
      </c>
      <c r="K22" s="3">
        <v>46.097250787125503</v>
      </c>
      <c r="L22" s="3">
        <v>0</v>
      </c>
      <c r="M22" s="3">
        <v>10444.2489011581</v>
      </c>
      <c r="N22" s="3">
        <f t="shared" si="2"/>
        <v>57.443368956369561</v>
      </c>
      <c r="O22" s="3">
        <f t="shared" si="3"/>
        <v>11.346118169244058</v>
      </c>
      <c r="P22" s="3">
        <f>SUM($O$3:O22)</f>
        <v>-450.87483199876726</v>
      </c>
      <c r="Q22" s="5">
        <v>0</v>
      </c>
      <c r="R22" s="5">
        <v>33.266479449496998</v>
      </c>
      <c r="S22" s="5">
        <v>0</v>
      </c>
      <c r="T22" s="5">
        <v>12391.352142993501</v>
      </c>
      <c r="U22" s="5">
        <f t="shared" si="4"/>
        <v>68.15243678646425</v>
      </c>
      <c r="V22" s="5">
        <f t="shared" si="5"/>
        <v>34.885957336967252</v>
      </c>
      <c r="W22" s="5">
        <f>SUM($V$3:V22)</f>
        <v>435.59219580300442</v>
      </c>
      <c r="X22" s="6">
        <v>18.428385854230896</v>
      </c>
      <c r="Y22" s="6">
        <v>33.266479449496998</v>
      </c>
      <c r="Z22" s="6">
        <v>0</v>
      </c>
      <c r="AA22" s="6">
        <v>13356.845544978099</v>
      </c>
      <c r="AB22" s="6">
        <f t="shared" si="6"/>
        <v>73.462650497379556</v>
      </c>
      <c r="AC22" s="6">
        <f t="shared" si="7"/>
        <v>21.767785193651662</v>
      </c>
      <c r="AD22" s="6">
        <f>SUM($AC$3:AC22)</f>
        <v>-450.80175414002269</v>
      </c>
      <c r="AE22" s="14">
        <v>10.250056029845979</v>
      </c>
      <c r="AF22" s="14">
        <v>48.550821588345897</v>
      </c>
      <c r="AG22" s="14">
        <v>0</v>
      </c>
      <c r="AH22" s="14">
        <v>10197.081509490199</v>
      </c>
      <c r="AI22" s="14">
        <f t="shared" si="8"/>
        <v>56.083948302196099</v>
      </c>
      <c r="AJ22" s="14">
        <f t="shared" si="9"/>
        <v>-2.7169293159957775</v>
      </c>
      <c r="AK22" s="14">
        <f>SUM($AJ$3:AJ22)</f>
        <v>-57.710898093993535</v>
      </c>
      <c r="AL22" s="16">
        <v>11.200737864446978</v>
      </c>
      <c r="AM22" s="16">
        <v>40.096573818409702</v>
      </c>
      <c r="AN22" s="16">
        <v>0</v>
      </c>
      <c r="AO22" s="16">
        <v>9334.4920783986709</v>
      </c>
      <c r="AP22" s="16">
        <f t="shared" si="10"/>
        <v>51.339706431192695</v>
      </c>
      <c r="AQ22" s="16">
        <f t="shared" si="11"/>
        <v>4.2394748336015198E-2</v>
      </c>
      <c r="AR22" s="16">
        <f>SUM($AQ$3:AQ22)</f>
        <v>-145.97497592087942</v>
      </c>
      <c r="AS22" s="20">
        <v>11.638000994297983</v>
      </c>
      <c r="AT22" s="20">
        <v>37.210145245347199</v>
      </c>
      <c r="AU22" s="20">
        <v>0</v>
      </c>
      <c r="AV22" s="20">
        <v>8980.5806405611092</v>
      </c>
      <c r="AW22" s="20">
        <f t="shared" si="12"/>
        <v>49.393193523086104</v>
      </c>
      <c r="AX22" s="20">
        <f t="shared" si="13"/>
        <v>0.54504728344092257</v>
      </c>
      <c r="AY22" s="20">
        <f>SUM($AX$3:AX22)</f>
        <v>-178.34950851349367</v>
      </c>
    </row>
    <row r="23" spans="2:51" x14ac:dyDescent="0.2">
      <c r="B23">
        <v>2045</v>
      </c>
      <c r="C23" s="1">
        <v>0</v>
      </c>
      <c r="D23" s="1">
        <v>51.575110689284003</v>
      </c>
      <c r="E23" s="1">
        <v>0</v>
      </c>
      <c r="F23" s="1">
        <v>12002.951057666</v>
      </c>
      <c r="G23" s="1">
        <f t="shared" si="0"/>
        <v>66.016230817163006</v>
      </c>
      <c r="H23" s="1">
        <f t="shared" si="1"/>
        <v>14.441120127879003</v>
      </c>
      <c r="I23" s="1">
        <f>SUM($H$3:H23)</f>
        <v>-276.68051421170804</v>
      </c>
      <c r="J23" s="3">
        <v>0</v>
      </c>
      <c r="K23" s="3">
        <v>46.109148395018799</v>
      </c>
      <c r="L23" s="3">
        <v>0</v>
      </c>
      <c r="M23" s="3">
        <v>10633.6569036819</v>
      </c>
      <c r="N23" s="3">
        <f t="shared" si="2"/>
        <v>58.485112970250455</v>
      </c>
      <c r="O23" s="3">
        <f t="shared" si="3"/>
        <v>12.375964575231656</v>
      </c>
      <c r="P23" s="3">
        <f>SUM($O$3:O23)</f>
        <v>-438.49886742353561</v>
      </c>
      <c r="Q23" s="5">
        <v>0</v>
      </c>
      <c r="R23" s="5">
        <v>32.854876551600803</v>
      </c>
      <c r="S23" s="5">
        <v>0</v>
      </c>
      <c r="T23" s="5">
        <v>12535.3799293633</v>
      </c>
      <c r="U23" s="5">
        <f t="shared" si="4"/>
        <v>68.944589611498159</v>
      </c>
      <c r="V23" s="5">
        <f t="shared" si="5"/>
        <v>36.089713059897356</v>
      </c>
      <c r="W23" s="5">
        <f>SUM($V$3:V23)</f>
        <v>471.68190886290176</v>
      </c>
      <c r="X23" s="6">
        <v>18.428385854229077</v>
      </c>
      <c r="Y23" s="6">
        <v>32.854876551600803</v>
      </c>
      <c r="Z23" s="6">
        <v>0</v>
      </c>
      <c r="AA23" s="6">
        <v>13519.301717202199</v>
      </c>
      <c r="AB23" s="6">
        <f t="shared" si="6"/>
        <v>74.356159444612089</v>
      </c>
      <c r="AC23" s="6">
        <f t="shared" si="7"/>
        <v>23.072897038782209</v>
      </c>
      <c r="AD23" s="6">
        <f>SUM($AC$3:AC23)</f>
        <v>-427.72885710124046</v>
      </c>
      <c r="AE23" s="14">
        <v>10.250056029847002</v>
      </c>
      <c r="AF23" s="14">
        <v>48.733329254347503</v>
      </c>
      <c r="AG23" s="14">
        <v>0</v>
      </c>
      <c r="AH23" s="14">
        <v>10424.365867177899</v>
      </c>
      <c r="AI23" s="14">
        <f t="shared" si="8"/>
        <v>57.33401226947845</v>
      </c>
      <c r="AJ23" s="14">
        <f t="shared" si="9"/>
        <v>-1.6493730147160548</v>
      </c>
      <c r="AK23" s="14">
        <f>SUM($AJ$3:AJ23)</f>
        <v>-59.36027110870959</v>
      </c>
      <c r="AL23" s="16">
        <v>11.20073786444803</v>
      </c>
      <c r="AM23" s="16">
        <v>39.917103368644</v>
      </c>
      <c r="AN23" s="16">
        <v>0</v>
      </c>
      <c r="AO23" s="16">
        <v>9520.0747119664902</v>
      </c>
      <c r="AP23" s="16">
        <f t="shared" si="10"/>
        <v>52.360410915815692</v>
      </c>
      <c r="AQ23" s="16">
        <f t="shared" si="11"/>
        <v>1.2425696827236621</v>
      </c>
      <c r="AR23" s="16">
        <f>SUM($AQ$3:AQ23)</f>
        <v>-144.73240623815576</v>
      </c>
      <c r="AS23" s="20">
        <v>11.638000994296988</v>
      </c>
      <c r="AT23" s="20">
        <v>36.938971226455898</v>
      </c>
      <c r="AU23" s="20">
        <v>0</v>
      </c>
      <c r="AV23" s="20">
        <v>9151.4803150755997</v>
      </c>
      <c r="AW23" s="20">
        <f t="shared" si="12"/>
        <v>50.333141732915806</v>
      </c>
      <c r="AX23" s="20">
        <f t="shared" si="13"/>
        <v>1.7561695121629199</v>
      </c>
      <c r="AY23" s="20">
        <f>SUM($AX$3:AX23)</f>
        <v>-176.59333900133075</v>
      </c>
    </row>
    <row r="24" spans="2:51" x14ac:dyDescent="0.2">
      <c r="B24">
        <v>2046</v>
      </c>
      <c r="C24" s="1">
        <v>0</v>
      </c>
      <c r="D24" s="1">
        <v>51.531158121104198</v>
      </c>
      <c r="E24" s="1">
        <v>0</v>
      </c>
      <c r="F24" s="1">
        <v>12276.4977882488</v>
      </c>
      <c r="G24" s="1">
        <f t="shared" si="0"/>
        <v>67.520737835368408</v>
      </c>
      <c r="H24" s="1">
        <f t="shared" si="1"/>
        <v>15.98957971426421</v>
      </c>
      <c r="I24" s="1">
        <f>SUM($H$3:H24)</f>
        <v>-260.69093449744383</v>
      </c>
      <c r="J24" s="3">
        <v>0</v>
      </c>
      <c r="K24" s="3">
        <v>45.854618294129097</v>
      </c>
      <c r="L24" s="3">
        <v>0</v>
      </c>
      <c r="M24" s="3">
        <v>10834.0047097101</v>
      </c>
      <c r="N24" s="3">
        <f t="shared" si="2"/>
        <v>59.587025903405554</v>
      </c>
      <c r="O24" s="3">
        <f t="shared" si="3"/>
        <v>13.732407609276457</v>
      </c>
      <c r="P24" s="3">
        <f>SUM($O$3:O24)</f>
        <v>-424.76645981425918</v>
      </c>
      <c r="Q24" s="5">
        <v>0</v>
      </c>
      <c r="R24" s="5">
        <v>32.354301370766699</v>
      </c>
      <c r="S24" s="5">
        <v>0</v>
      </c>
      <c r="T24" s="5">
        <v>12666.9872296258</v>
      </c>
      <c r="U24" s="5">
        <f t="shared" si="4"/>
        <v>69.668429762941898</v>
      </c>
      <c r="V24" s="5">
        <f t="shared" si="5"/>
        <v>37.314128392175199</v>
      </c>
      <c r="W24" s="5">
        <f>SUM($V$3:V24)</f>
        <v>508.99603725507694</v>
      </c>
      <c r="X24" s="6">
        <v>20.298348259995919</v>
      </c>
      <c r="Y24" s="6">
        <v>32.354301370766699</v>
      </c>
      <c r="Z24" s="6">
        <v>0</v>
      </c>
      <c r="AA24" s="6">
        <v>13671.2073657246</v>
      </c>
      <c r="AB24" s="6">
        <f t="shared" si="6"/>
        <v>75.191640511485303</v>
      </c>
      <c r="AC24" s="6">
        <f t="shared" si="7"/>
        <v>22.538990880722686</v>
      </c>
      <c r="AD24" s="6">
        <f>SUM($AC$3:AC24)</f>
        <v>-405.18986622051779</v>
      </c>
      <c r="AE24" s="14">
        <v>13.192021258436</v>
      </c>
      <c r="AF24" s="14">
        <v>48.761724229062402</v>
      </c>
      <c r="AG24" s="14">
        <v>0</v>
      </c>
      <c r="AH24" s="14">
        <v>10685.360554689099</v>
      </c>
      <c r="AI24" s="14">
        <f t="shared" si="8"/>
        <v>58.769483050790058</v>
      </c>
      <c r="AJ24" s="14">
        <f t="shared" si="9"/>
        <v>-3.1842624367083445</v>
      </c>
      <c r="AK24" s="14">
        <f>SUM($AJ$3:AJ24)</f>
        <v>-62.544533545417934</v>
      </c>
      <c r="AL24" s="16">
        <v>14.321080297241963</v>
      </c>
      <c r="AM24" s="16">
        <v>39.399676429442998</v>
      </c>
      <c r="AN24" s="16">
        <v>0</v>
      </c>
      <c r="AO24" s="16">
        <v>9732.8653674223297</v>
      </c>
      <c r="AP24" s="16">
        <f t="shared" si="10"/>
        <v>53.530759520822812</v>
      </c>
      <c r="AQ24" s="16">
        <f t="shared" si="11"/>
        <v>-0.18999720586214863</v>
      </c>
      <c r="AR24" s="16">
        <f>SUM($AQ$3:AQ24)</f>
        <v>-144.9224034440179</v>
      </c>
      <c r="AS24" s="20">
        <v>14.791031080571031</v>
      </c>
      <c r="AT24" s="20">
        <v>36.3591263760187</v>
      </c>
      <c r="AU24" s="20">
        <v>0</v>
      </c>
      <c r="AV24" s="20">
        <v>9349.2632657697104</v>
      </c>
      <c r="AW24" s="20">
        <f t="shared" si="12"/>
        <v>51.420947961733411</v>
      </c>
      <c r="AX24" s="20">
        <f t="shared" si="13"/>
        <v>0.27079050514367964</v>
      </c>
      <c r="AY24" s="20">
        <f>SUM($AX$3:AX24)</f>
        <v>-176.32254849618707</v>
      </c>
    </row>
    <row r="25" spans="2:51" x14ac:dyDescent="0.2">
      <c r="B25">
        <v>2047</v>
      </c>
      <c r="C25" s="1">
        <v>0</v>
      </c>
      <c r="D25" s="1">
        <v>51.487205552924401</v>
      </c>
      <c r="E25" s="1">
        <v>0</v>
      </c>
      <c r="F25" s="1">
        <v>12550.044518831601</v>
      </c>
      <c r="G25" s="1">
        <f t="shared" si="0"/>
        <v>69.02524485357381</v>
      </c>
      <c r="H25" s="1">
        <f t="shared" si="1"/>
        <v>17.538039300649409</v>
      </c>
      <c r="I25" s="1">
        <f>SUM($H$3:H25)</f>
        <v>-243.15289519679442</v>
      </c>
      <c r="J25" s="3">
        <v>0</v>
      </c>
      <c r="K25" s="3">
        <v>45.600088193239401</v>
      </c>
      <c r="L25" s="3">
        <v>0</v>
      </c>
      <c r="M25" s="3">
        <v>11034.352515738299</v>
      </c>
      <c r="N25" s="3">
        <f t="shared" si="2"/>
        <v>60.688938836560652</v>
      </c>
      <c r="O25" s="3">
        <f t="shared" si="3"/>
        <v>15.088850643321251</v>
      </c>
      <c r="P25" s="3">
        <f>SUM($O$3:O25)</f>
        <v>-409.6776091709379</v>
      </c>
      <c r="Q25" s="5">
        <v>0</v>
      </c>
      <c r="R25" s="5">
        <v>31.853726189932701</v>
      </c>
      <c r="S25" s="5">
        <v>0</v>
      </c>
      <c r="T25" s="5">
        <v>12798.5945298882</v>
      </c>
      <c r="U25" s="5">
        <f t="shared" si="4"/>
        <v>70.392269914385096</v>
      </c>
      <c r="V25" s="5">
        <f t="shared" si="5"/>
        <v>38.538543724452396</v>
      </c>
      <c r="W25" s="5">
        <f>SUM($V$3:V25)</f>
        <v>547.53458097952932</v>
      </c>
      <c r="X25" s="6">
        <v>20.298348259990007</v>
      </c>
      <c r="Y25" s="6">
        <v>31.853726189932701</v>
      </c>
      <c r="Z25" s="6">
        <v>0</v>
      </c>
      <c r="AA25" s="6">
        <v>13823.113014246999</v>
      </c>
      <c r="AB25" s="6">
        <f t="shared" si="6"/>
        <v>76.027121578358489</v>
      </c>
      <c r="AC25" s="6">
        <f t="shared" si="7"/>
        <v>23.875047128435781</v>
      </c>
      <c r="AD25" s="6">
        <f>SUM($AC$3:AC25)</f>
        <v>-381.31481909208202</v>
      </c>
      <c r="AE25" s="14">
        <v>13.192021258436</v>
      </c>
      <c r="AF25" s="14">
        <v>48.790119203777401</v>
      </c>
      <c r="AG25" s="14">
        <v>0</v>
      </c>
      <c r="AH25" s="14">
        <v>10946.355242200299</v>
      </c>
      <c r="AI25" s="14">
        <f t="shared" si="8"/>
        <v>60.204953832101651</v>
      </c>
      <c r="AJ25" s="14">
        <f t="shared" si="9"/>
        <v>-1.7771866301117498</v>
      </c>
      <c r="AK25" s="14">
        <f>SUM($AJ$3:AJ25)</f>
        <v>-64.321720175529691</v>
      </c>
      <c r="AL25" s="16">
        <v>14.321080297243043</v>
      </c>
      <c r="AM25" s="16">
        <v>38.882249490242003</v>
      </c>
      <c r="AN25" s="16">
        <v>0</v>
      </c>
      <c r="AO25" s="16">
        <v>9945.65602287816</v>
      </c>
      <c r="AP25" s="16">
        <f t="shared" si="10"/>
        <v>54.701108125829876</v>
      </c>
      <c r="AQ25" s="16">
        <f t="shared" si="11"/>
        <v>1.4977783383448298</v>
      </c>
      <c r="AR25" s="16">
        <f>SUM($AQ$3:AQ25)</f>
        <v>-143.42462510567307</v>
      </c>
      <c r="AS25" s="20">
        <v>14.791031080570974</v>
      </c>
      <c r="AT25" s="20">
        <v>35.779281525581503</v>
      </c>
      <c r="AU25" s="20">
        <v>0</v>
      </c>
      <c r="AV25" s="20">
        <v>9547.0462164638193</v>
      </c>
      <c r="AW25" s="20">
        <f t="shared" si="12"/>
        <v>52.508754190551009</v>
      </c>
      <c r="AX25" s="20">
        <f t="shared" si="13"/>
        <v>1.9384415843985323</v>
      </c>
      <c r="AY25" s="20">
        <f>SUM($AX$3:AX25)</f>
        <v>-174.38410691178854</v>
      </c>
    </row>
    <row r="26" spans="2:51" x14ac:dyDescent="0.2">
      <c r="B26">
        <v>2048</v>
      </c>
      <c r="C26" s="1">
        <v>0</v>
      </c>
      <c r="D26" s="1">
        <v>51.443252984744703</v>
      </c>
      <c r="E26" s="1">
        <v>0</v>
      </c>
      <c r="F26" s="1">
        <v>12823.591249414399</v>
      </c>
      <c r="G26" s="1">
        <f t="shared" si="0"/>
        <v>70.529751871779197</v>
      </c>
      <c r="H26" s="1">
        <f t="shared" si="1"/>
        <v>19.086498887034494</v>
      </c>
      <c r="I26" s="1">
        <f>SUM($H$3:H26)</f>
        <v>-224.06639630975991</v>
      </c>
      <c r="J26" s="3">
        <v>0</v>
      </c>
      <c r="K26" s="3">
        <v>45.345558092349599</v>
      </c>
      <c r="L26" s="3">
        <v>0</v>
      </c>
      <c r="M26" s="3">
        <v>11234.700321766501</v>
      </c>
      <c r="N26" s="3">
        <f t="shared" si="2"/>
        <v>61.790851769715758</v>
      </c>
      <c r="O26" s="3">
        <f t="shared" si="3"/>
        <v>16.445293677366159</v>
      </c>
      <c r="P26" s="3">
        <f>SUM($O$3:O26)</f>
        <v>-393.23231549357172</v>
      </c>
      <c r="Q26" s="5">
        <v>0</v>
      </c>
      <c r="R26" s="5">
        <v>31.3531510090986</v>
      </c>
      <c r="S26" s="5">
        <v>0</v>
      </c>
      <c r="T26" s="5">
        <v>12930.2018301506</v>
      </c>
      <c r="U26" s="5">
        <f t="shared" si="4"/>
        <v>71.116110065828295</v>
      </c>
      <c r="V26" s="5">
        <f t="shared" si="5"/>
        <v>39.762959056729699</v>
      </c>
      <c r="W26" s="5">
        <f>SUM($V$3:V26)</f>
        <v>587.29754003625908</v>
      </c>
      <c r="X26" s="6">
        <v>20.298348260000012</v>
      </c>
      <c r="Y26" s="6">
        <v>31.3531510090986</v>
      </c>
      <c r="Z26" s="6">
        <v>0</v>
      </c>
      <c r="AA26" s="6">
        <v>13975.0186627694</v>
      </c>
      <c r="AB26" s="6">
        <f t="shared" si="6"/>
        <v>76.862602645231703</v>
      </c>
      <c r="AC26" s="6">
        <f t="shared" si="7"/>
        <v>25.211103376133096</v>
      </c>
      <c r="AD26" s="6">
        <f>SUM($AC$3:AC26)</f>
        <v>-356.10371571594891</v>
      </c>
      <c r="AE26" s="14">
        <v>13.192021258436</v>
      </c>
      <c r="AF26" s="14">
        <v>48.8185141784923</v>
      </c>
      <c r="AG26" s="14">
        <v>0</v>
      </c>
      <c r="AH26" s="14">
        <v>11207.349929711399</v>
      </c>
      <c r="AI26" s="14">
        <f t="shared" si="8"/>
        <v>61.640424613412705</v>
      </c>
      <c r="AJ26" s="14">
        <f t="shared" si="9"/>
        <v>-0.37011082351559565</v>
      </c>
      <c r="AK26" s="14">
        <f>SUM($AJ$3:AJ26)</f>
        <v>-64.691830999045294</v>
      </c>
      <c r="AL26" s="16">
        <v>14.321080297241963</v>
      </c>
      <c r="AM26" s="16">
        <v>38.364822551041001</v>
      </c>
      <c r="AN26" s="16">
        <v>0</v>
      </c>
      <c r="AO26" s="16">
        <v>10158.446678333999</v>
      </c>
      <c r="AP26" s="16">
        <f t="shared" si="10"/>
        <v>55.871456730836996</v>
      </c>
      <c r="AQ26" s="16">
        <f t="shared" si="11"/>
        <v>3.1855538825540322</v>
      </c>
      <c r="AR26" s="16">
        <f>SUM($AQ$3:AQ26)</f>
        <v>-140.23907122311903</v>
      </c>
      <c r="AS26" s="20">
        <v>14.791031080571031</v>
      </c>
      <c r="AT26" s="20">
        <v>35.199436675144298</v>
      </c>
      <c r="AU26" s="20">
        <v>0</v>
      </c>
      <c r="AV26" s="20">
        <v>9744.82916715793</v>
      </c>
      <c r="AW26" s="20">
        <f t="shared" si="12"/>
        <v>53.596560419368622</v>
      </c>
      <c r="AX26" s="20">
        <f t="shared" si="13"/>
        <v>3.6060926636532926</v>
      </c>
      <c r="AY26" s="20">
        <f>SUM($AX$3:AX26)</f>
        <v>-170.77801424813524</v>
      </c>
    </row>
    <row r="27" spans="2:51" x14ac:dyDescent="0.2">
      <c r="B27">
        <v>2049</v>
      </c>
      <c r="C27" s="1">
        <v>0</v>
      </c>
      <c r="D27" s="1">
        <v>51.399300416564898</v>
      </c>
      <c r="E27" s="1">
        <v>0</v>
      </c>
      <c r="F27" s="1">
        <v>13097.1379799972</v>
      </c>
      <c r="G27" s="1">
        <f t="shared" si="0"/>
        <v>72.034258889984599</v>
      </c>
      <c r="H27" s="1">
        <f t="shared" si="1"/>
        <v>20.634958473419701</v>
      </c>
      <c r="I27" s="1">
        <f>SUM($H$3:H27)</f>
        <v>-203.43143783634019</v>
      </c>
      <c r="J27" s="3">
        <v>0</v>
      </c>
      <c r="K27" s="3">
        <v>45.091027991459903</v>
      </c>
      <c r="L27" s="3">
        <v>0</v>
      </c>
      <c r="M27" s="3">
        <v>11435.0481277948</v>
      </c>
      <c r="N27" s="3">
        <f t="shared" si="2"/>
        <v>62.892764702871403</v>
      </c>
      <c r="O27" s="3">
        <f t="shared" si="3"/>
        <v>17.8017367114115</v>
      </c>
      <c r="P27" s="3">
        <f>SUM($O$3:O27)</f>
        <v>-375.43057878216024</v>
      </c>
      <c r="Q27" s="5">
        <v>0</v>
      </c>
      <c r="R27" s="5">
        <v>30.852575828264499</v>
      </c>
      <c r="S27" s="5">
        <v>0</v>
      </c>
      <c r="T27" s="5">
        <v>13061.809130412999</v>
      </c>
      <c r="U27" s="5">
        <f t="shared" si="4"/>
        <v>71.839950217271493</v>
      </c>
      <c r="V27" s="5">
        <f t="shared" si="5"/>
        <v>40.987374389006995</v>
      </c>
      <c r="W27" s="5">
        <f>SUM($V$3:V27)</f>
        <v>628.28491442526604</v>
      </c>
      <c r="X27" s="6">
        <v>20.298348259990007</v>
      </c>
      <c r="Y27" s="6">
        <v>30.852575828264499</v>
      </c>
      <c r="Z27" s="6">
        <v>0</v>
      </c>
      <c r="AA27" s="6">
        <v>14126.924311291899</v>
      </c>
      <c r="AB27" s="6">
        <f t="shared" si="6"/>
        <v>77.698083712105458</v>
      </c>
      <c r="AC27" s="6">
        <f t="shared" si="7"/>
        <v>26.547159623850952</v>
      </c>
      <c r="AD27" s="6">
        <f>SUM($AC$3:AC27)</f>
        <v>-329.55655609209794</v>
      </c>
      <c r="AE27" s="14">
        <v>13.192021258437023</v>
      </c>
      <c r="AF27" s="14">
        <v>48.846909153207299</v>
      </c>
      <c r="AG27" s="14">
        <v>0</v>
      </c>
      <c r="AH27" s="14">
        <v>11468.344617222599</v>
      </c>
      <c r="AI27" s="14">
        <f t="shared" si="8"/>
        <v>63.075895394724299</v>
      </c>
      <c r="AJ27" s="14">
        <f t="shared" si="9"/>
        <v>1.0369649830799759</v>
      </c>
      <c r="AK27" s="14">
        <f>SUM($AJ$3:AJ27)</f>
        <v>-63.654866015965318</v>
      </c>
      <c r="AL27" s="16">
        <v>14.321080297242986</v>
      </c>
      <c r="AM27" s="16">
        <v>37.84739561184</v>
      </c>
      <c r="AN27" s="16">
        <v>0</v>
      </c>
      <c r="AO27" s="16">
        <v>10371.237333789801</v>
      </c>
      <c r="AP27" s="16">
        <f t="shared" si="10"/>
        <v>57.041805335843904</v>
      </c>
      <c r="AQ27" s="16">
        <f t="shared" si="11"/>
        <v>4.8733294267609182</v>
      </c>
      <c r="AR27" s="16">
        <f>SUM($AQ$3:AQ27)</f>
        <v>-135.36574179635812</v>
      </c>
      <c r="AS27" s="20">
        <v>14.791031080570974</v>
      </c>
      <c r="AT27" s="20">
        <v>34.619591824707101</v>
      </c>
      <c r="AU27" s="20">
        <v>0</v>
      </c>
      <c r="AV27" s="20">
        <v>9942.6121178520407</v>
      </c>
      <c r="AW27" s="20">
        <f t="shared" si="12"/>
        <v>54.684366648186227</v>
      </c>
      <c r="AX27" s="20">
        <f t="shared" si="13"/>
        <v>5.2737437429081524</v>
      </c>
      <c r="AY27" s="20">
        <f>SUM($AX$3:AX27)</f>
        <v>-165.50427050522708</v>
      </c>
    </row>
    <row r="28" spans="2:51" x14ac:dyDescent="0.2">
      <c r="B28">
        <v>2050</v>
      </c>
      <c r="C28" s="1">
        <v>0</v>
      </c>
      <c r="D28" s="1">
        <v>51.355347848385101</v>
      </c>
      <c r="E28" s="1">
        <v>0</v>
      </c>
      <c r="F28" s="1">
        <v>13370.684710580001</v>
      </c>
      <c r="G28" s="1">
        <f t="shared" si="0"/>
        <v>73.538765908190015</v>
      </c>
      <c r="H28" s="1">
        <f t="shared" si="1"/>
        <v>22.183418059804914</v>
      </c>
      <c r="I28" s="1">
        <f>SUM($H$3:H28)</f>
        <v>-181.24801977653527</v>
      </c>
      <c r="J28" s="3">
        <v>0</v>
      </c>
      <c r="K28" s="3">
        <v>44.8364978905702</v>
      </c>
      <c r="L28" s="3">
        <v>0</v>
      </c>
      <c r="M28" s="3">
        <v>11635.395933823</v>
      </c>
      <c r="N28" s="3">
        <f t="shared" si="2"/>
        <v>63.994677636026495</v>
      </c>
      <c r="O28" s="3">
        <f t="shared" si="3"/>
        <v>19.158179745456295</v>
      </c>
      <c r="P28" s="3">
        <f>SUM($O$3:O28)</f>
        <v>-356.27239903670397</v>
      </c>
      <c r="Q28" s="5">
        <v>0</v>
      </c>
      <c r="R28" s="5">
        <v>30.352000647430401</v>
      </c>
      <c r="S28" s="5">
        <v>0</v>
      </c>
      <c r="T28" s="5">
        <v>13193.416430675399</v>
      </c>
      <c r="U28" s="5">
        <f t="shared" si="4"/>
        <v>72.563790368714692</v>
      </c>
      <c r="V28" s="5">
        <f t="shared" si="5"/>
        <v>42.211789721284291</v>
      </c>
      <c r="W28" s="5">
        <f>SUM($V$3:V28)</f>
        <v>670.49670414655031</v>
      </c>
      <c r="X28" s="6">
        <v>20.298348259990007</v>
      </c>
      <c r="Y28" s="6">
        <v>30.352000647430401</v>
      </c>
      <c r="Z28" s="6">
        <v>0</v>
      </c>
      <c r="AA28" s="6">
        <v>14278.8299598143</v>
      </c>
      <c r="AB28" s="6">
        <f t="shared" si="6"/>
        <v>78.533564778978658</v>
      </c>
      <c r="AC28" s="6">
        <f t="shared" si="7"/>
        <v>27.883215871558249</v>
      </c>
      <c r="AD28" s="6">
        <f>SUM($AC$3:AC28)</f>
        <v>-301.67334022053967</v>
      </c>
      <c r="AE28" s="14">
        <v>13.192021258436</v>
      </c>
      <c r="AF28" s="14">
        <v>48.875304127922199</v>
      </c>
      <c r="AG28" s="14">
        <v>0</v>
      </c>
      <c r="AH28" s="14">
        <v>11729.3393047338</v>
      </c>
      <c r="AI28" s="14">
        <f t="shared" si="8"/>
        <v>64.511366176035892</v>
      </c>
      <c r="AJ28" s="14">
        <f t="shared" si="9"/>
        <v>2.4440407896776932</v>
      </c>
      <c r="AK28" s="14">
        <f>SUM($AJ$3:AJ28)</f>
        <v>-61.210825226287625</v>
      </c>
      <c r="AL28" s="16">
        <v>14.32108029724202</v>
      </c>
      <c r="AM28" s="16">
        <v>37.329968672639097</v>
      </c>
      <c r="AN28" s="16">
        <v>0</v>
      </c>
      <c r="AO28" s="16">
        <v>10584.0279892457</v>
      </c>
      <c r="AP28" s="16">
        <f t="shared" si="10"/>
        <v>58.212153940851351</v>
      </c>
      <c r="AQ28" s="16">
        <f t="shared" si="11"/>
        <v>6.5611049709702343</v>
      </c>
      <c r="AR28" s="16">
        <f>SUM($AQ$3:AQ28)</f>
        <v>-128.80463682538789</v>
      </c>
      <c r="AS28" s="20">
        <v>14.791031080571031</v>
      </c>
      <c r="AT28" s="20">
        <v>34.039746974269903</v>
      </c>
      <c r="AU28" s="20">
        <v>0</v>
      </c>
      <c r="AV28" s="20">
        <v>10140.3950685461</v>
      </c>
      <c r="AW28" s="20">
        <f t="shared" si="12"/>
        <v>55.772172877003555</v>
      </c>
      <c r="AX28" s="20">
        <f t="shared" si="13"/>
        <v>6.9413948221626214</v>
      </c>
      <c r="AY28" s="20">
        <f>SUM($AX$3:AX28)</f>
        <v>-158.56287568306448</v>
      </c>
    </row>
    <row r="29" spans="2:51" x14ac:dyDescent="0.2">
      <c r="B29">
        <v>2051</v>
      </c>
      <c r="C29" s="1">
        <v>0</v>
      </c>
      <c r="D29" s="1">
        <v>51.159194497460597</v>
      </c>
      <c r="E29" s="1">
        <v>0</v>
      </c>
      <c r="F29" s="1">
        <v>13694.1035220744</v>
      </c>
      <c r="G29" s="1">
        <f t="shared" si="0"/>
        <v>75.317569371409192</v>
      </c>
      <c r="H29" s="1">
        <f t="shared" si="1"/>
        <v>24.158374873948596</v>
      </c>
      <c r="I29" s="1">
        <f>SUM($H$3:H29)</f>
        <v>-157.08964490258668</v>
      </c>
      <c r="J29" s="3">
        <v>0</v>
      </c>
      <c r="K29" s="3">
        <v>44.473059271986301</v>
      </c>
      <c r="L29" s="3">
        <v>0</v>
      </c>
      <c r="M29" s="3">
        <v>11864.179191552499</v>
      </c>
      <c r="N29" s="3">
        <f t="shared" si="2"/>
        <v>65.25298555353875</v>
      </c>
      <c r="O29" s="3">
        <f t="shared" si="3"/>
        <v>20.779926281552449</v>
      </c>
      <c r="P29" s="3">
        <f>SUM($O$3:O29)</f>
        <v>-335.49247275515154</v>
      </c>
      <c r="Q29" s="5">
        <v>0</v>
      </c>
      <c r="R29" s="5">
        <v>29.886408951204402</v>
      </c>
      <c r="S29" s="5">
        <v>0</v>
      </c>
      <c r="T29" s="5">
        <v>13324.803971265301</v>
      </c>
      <c r="U29" s="5">
        <f t="shared" si="4"/>
        <v>73.286421841959154</v>
      </c>
      <c r="V29" s="5">
        <f t="shared" si="5"/>
        <v>43.400012890754752</v>
      </c>
      <c r="W29" s="5">
        <f>SUM($V$3:V29)</f>
        <v>713.89671703730505</v>
      </c>
      <c r="X29" s="6">
        <v>10.028941211839992</v>
      </c>
      <c r="Y29" s="6">
        <v>29.886408951204402</v>
      </c>
      <c r="Z29" s="6">
        <v>0</v>
      </c>
      <c r="AA29" s="6">
        <v>14420.246441616</v>
      </c>
      <c r="AB29" s="6">
        <f t="shared" si="6"/>
        <v>79.311355428888007</v>
      </c>
      <c r="AC29" s="6">
        <f t="shared" si="7"/>
        <v>39.396005265843613</v>
      </c>
      <c r="AD29" s="6">
        <f>SUM($AC$3:AC29)</f>
        <v>-262.27733495469607</v>
      </c>
      <c r="AE29" s="14">
        <v>16.929918830660995</v>
      </c>
      <c r="AF29" s="14">
        <v>48.768545196123497</v>
      </c>
      <c r="AG29" s="14">
        <v>0</v>
      </c>
      <c r="AH29" s="14">
        <v>12047.2232852617</v>
      </c>
      <c r="AI29" s="14">
        <f t="shared" si="8"/>
        <v>66.259728068939353</v>
      </c>
      <c r="AJ29" s="14">
        <f t="shared" si="9"/>
        <v>0.56126404215486048</v>
      </c>
      <c r="AK29" s="14">
        <f>SUM($AJ$3:AJ29)</f>
        <v>-60.649561184132764</v>
      </c>
      <c r="AL29" s="16">
        <v>17.741276671813011</v>
      </c>
      <c r="AM29" s="16">
        <v>36.964873822713301</v>
      </c>
      <c r="AN29" s="16">
        <v>0</v>
      </c>
      <c r="AO29" s="16">
        <v>10858.4530978602</v>
      </c>
      <c r="AP29" s="16">
        <f t="shared" si="10"/>
        <v>59.721492038231105</v>
      </c>
      <c r="AQ29" s="16">
        <f t="shared" si="11"/>
        <v>5.0153415437047926</v>
      </c>
      <c r="AR29" s="16">
        <f>SUM($AQ$3:AQ29)</f>
        <v>-123.7892952816831</v>
      </c>
      <c r="AS29" s="20">
        <v>18.103668381391003</v>
      </c>
      <c r="AT29" s="20">
        <v>33.555009811732397</v>
      </c>
      <c r="AU29" s="20">
        <v>0</v>
      </c>
      <c r="AV29" s="20">
        <v>10399.8504264069</v>
      </c>
      <c r="AW29" s="20">
        <f t="shared" si="12"/>
        <v>57.199177345237949</v>
      </c>
      <c r="AX29" s="20">
        <f t="shared" si="13"/>
        <v>5.540499152114549</v>
      </c>
      <c r="AY29" s="20">
        <f>SUM($AX$3:AX29)</f>
        <v>-153.02237653094994</v>
      </c>
    </row>
    <row r="30" spans="2:51" x14ac:dyDescent="0.2">
      <c r="B30">
        <v>2052</v>
      </c>
      <c r="C30" s="1">
        <v>0</v>
      </c>
      <c r="D30" s="1">
        <v>50.963041146536199</v>
      </c>
      <c r="E30" s="1">
        <v>0</v>
      </c>
      <c r="F30" s="1">
        <v>14017.522333568701</v>
      </c>
      <c r="G30" s="1">
        <f t="shared" si="0"/>
        <v>77.096372834627857</v>
      </c>
      <c r="H30" s="1">
        <f t="shared" si="1"/>
        <v>26.133331688091658</v>
      </c>
      <c r="I30" s="1">
        <f>SUM($H$3:H30)</f>
        <v>-130.95631321449503</v>
      </c>
      <c r="J30" s="3">
        <v>0</v>
      </c>
      <c r="K30" s="3">
        <v>44.109620653402402</v>
      </c>
      <c r="L30" s="3">
        <v>0</v>
      </c>
      <c r="M30" s="3">
        <v>12092.9624492821</v>
      </c>
      <c r="N30" s="3">
        <f t="shared" si="2"/>
        <v>66.511293471051559</v>
      </c>
      <c r="O30" s="3">
        <f t="shared" si="3"/>
        <v>22.401672817649157</v>
      </c>
      <c r="P30" s="3">
        <f>SUM($O$3:O30)</f>
        <v>-313.09079993750237</v>
      </c>
      <c r="Q30" s="5">
        <v>0</v>
      </c>
      <c r="R30" s="5">
        <v>29.420817254978498</v>
      </c>
      <c r="S30" s="5">
        <v>0</v>
      </c>
      <c r="T30" s="5">
        <v>13456.191511855101</v>
      </c>
      <c r="U30" s="5">
        <f t="shared" si="4"/>
        <v>74.009053315203047</v>
      </c>
      <c r="V30" s="5">
        <f t="shared" si="5"/>
        <v>44.588236060224546</v>
      </c>
      <c r="W30" s="5">
        <f>SUM($V$3:V30)</f>
        <v>758.48495309752957</v>
      </c>
      <c r="X30" s="6">
        <v>10.028941211839992</v>
      </c>
      <c r="Y30" s="6">
        <v>29.420817254978498</v>
      </c>
      <c r="Z30" s="6">
        <v>0</v>
      </c>
      <c r="AA30" s="6">
        <v>14561.6629234177</v>
      </c>
      <c r="AB30" s="6">
        <f t="shared" si="6"/>
        <v>80.089146078797356</v>
      </c>
      <c r="AC30" s="6">
        <f t="shared" si="7"/>
        <v>40.639387611978862</v>
      </c>
      <c r="AD30" s="6">
        <f>SUM($AC$3:AC30)</f>
        <v>-221.63794734271721</v>
      </c>
      <c r="AE30" s="14">
        <v>16.929918830660995</v>
      </c>
      <c r="AF30" s="14">
        <v>48.661786264324803</v>
      </c>
      <c r="AG30" s="14">
        <v>0</v>
      </c>
      <c r="AH30" s="14">
        <v>12365.1072657897</v>
      </c>
      <c r="AI30" s="14">
        <f t="shared" si="8"/>
        <v>68.008089961843353</v>
      </c>
      <c r="AJ30" s="14">
        <f t="shared" si="9"/>
        <v>2.4163848668575554</v>
      </c>
      <c r="AK30" s="14">
        <f>SUM($AJ$3:AJ30)</f>
        <v>-58.233176317275209</v>
      </c>
      <c r="AL30" s="16">
        <v>17.741276671813011</v>
      </c>
      <c r="AM30" s="16">
        <v>36.599778972787497</v>
      </c>
      <c r="AN30" s="16">
        <v>0</v>
      </c>
      <c r="AO30" s="16">
        <v>11132.878206474799</v>
      </c>
      <c r="AP30" s="16">
        <f t="shared" si="10"/>
        <v>61.230830135611399</v>
      </c>
      <c r="AQ30" s="16">
        <f t="shared" si="11"/>
        <v>6.8897744910108898</v>
      </c>
      <c r="AR30" s="16">
        <f>SUM($AQ$3:AQ30)</f>
        <v>-116.8995207906722</v>
      </c>
      <c r="AS30" s="20">
        <v>18.103668381391003</v>
      </c>
      <c r="AT30" s="20">
        <v>33.070272649194997</v>
      </c>
      <c r="AU30" s="20">
        <v>0</v>
      </c>
      <c r="AV30" s="20">
        <v>10659.305784267701</v>
      </c>
      <c r="AW30" s="20">
        <f t="shared" si="12"/>
        <v>58.626181813472357</v>
      </c>
      <c r="AX30" s="20">
        <f t="shared" si="13"/>
        <v>7.4522407828863564</v>
      </c>
      <c r="AY30" s="20">
        <f>SUM($AX$3:AX30)</f>
        <v>-145.57013574806359</v>
      </c>
    </row>
    <row r="31" spans="2:51" x14ac:dyDescent="0.2">
      <c r="B31">
        <v>2053</v>
      </c>
      <c r="C31" s="1">
        <v>0</v>
      </c>
      <c r="D31" s="1">
        <v>50.766887795611702</v>
      </c>
      <c r="E31" s="1">
        <v>0</v>
      </c>
      <c r="F31" s="1">
        <v>14340.9411450631</v>
      </c>
      <c r="G31" s="1">
        <f t="shared" si="0"/>
        <v>78.875176297847062</v>
      </c>
      <c r="H31" s="1">
        <f t="shared" si="1"/>
        <v>28.108288502235361</v>
      </c>
      <c r="I31" s="1">
        <f>SUM($H$3:H31)</f>
        <v>-102.84802471225967</v>
      </c>
      <c r="J31" s="3">
        <v>0</v>
      </c>
      <c r="K31" s="3">
        <v>43.746182034818403</v>
      </c>
      <c r="L31" s="3">
        <v>0</v>
      </c>
      <c r="M31" s="3">
        <v>12321.7457070116</v>
      </c>
      <c r="N31" s="3">
        <f t="shared" si="2"/>
        <v>67.7696013885638</v>
      </c>
      <c r="O31" s="3">
        <f t="shared" si="3"/>
        <v>24.023419353745396</v>
      </c>
      <c r="P31" s="3">
        <f>SUM($O$3:O31)</f>
        <v>-289.06738058375697</v>
      </c>
      <c r="Q31" s="5">
        <v>0</v>
      </c>
      <c r="R31" s="5">
        <v>28.955225558752499</v>
      </c>
      <c r="S31" s="5">
        <v>0</v>
      </c>
      <c r="T31" s="5">
        <v>13587.579052445</v>
      </c>
      <c r="U31" s="5">
        <f t="shared" si="4"/>
        <v>74.73168478844751</v>
      </c>
      <c r="V31" s="5">
        <f t="shared" si="5"/>
        <v>45.776459229695007</v>
      </c>
      <c r="W31" s="5">
        <f>SUM($V$3:V31)</f>
        <v>804.26141232722455</v>
      </c>
      <c r="X31" s="6">
        <v>10.028941211839992</v>
      </c>
      <c r="Y31" s="6">
        <v>28.955225558752499</v>
      </c>
      <c r="Z31" s="6">
        <v>0</v>
      </c>
      <c r="AA31" s="6">
        <v>14703.0794052194</v>
      </c>
      <c r="AB31" s="6">
        <f t="shared" si="6"/>
        <v>80.866936728706705</v>
      </c>
      <c r="AC31" s="6">
        <f t="shared" si="7"/>
        <v>41.88276995811421</v>
      </c>
      <c r="AD31" s="6">
        <f>SUM($AC$3:AC31)</f>
        <v>-179.755177384603</v>
      </c>
      <c r="AE31" s="14">
        <v>16.929918830662018</v>
      </c>
      <c r="AF31" s="14">
        <v>48.555027332526102</v>
      </c>
      <c r="AG31" s="14">
        <v>0</v>
      </c>
      <c r="AH31" s="14">
        <v>12682.991246317601</v>
      </c>
      <c r="AI31" s="14">
        <f t="shared" si="8"/>
        <v>69.756451854746814</v>
      </c>
      <c r="AJ31" s="14">
        <f t="shared" si="9"/>
        <v>4.2715056915586942</v>
      </c>
      <c r="AK31" s="14">
        <f>SUM($AJ$3:AJ31)</f>
        <v>-53.961670625716515</v>
      </c>
      <c r="AL31" s="16">
        <v>17.741276671812955</v>
      </c>
      <c r="AM31" s="16">
        <v>36.234684122861701</v>
      </c>
      <c r="AN31" s="16">
        <v>0</v>
      </c>
      <c r="AO31" s="16">
        <v>11407.303315089401</v>
      </c>
      <c r="AP31" s="16">
        <f t="shared" si="10"/>
        <v>62.740168232991714</v>
      </c>
      <c r="AQ31" s="16">
        <f t="shared" si="11"/>
        <v>8.7642074383170581</v>
      </c>
      <c r="AR31" s="16">
        <f>SUM($AQ$3:AQ31)</f>
        <v>-108.13531335235514</v>
      </c>
      <c r="AS31" s="20">
        <v>18.10366838138998</v>
      </c>
      <c r="AT31" s="20">
        <v>32.585535486657498</v>
      </c>
      <c r="AU31" s="20">
        <v>0</v>
      </c>
      <c r="AV31" s="20">
        <v>10918.7611421285</v>
      </c>
      <c r="AW31" s="20">
        <f t="shared" si="12"/>
        <v>60.053186281706751</v>
      </c>
      <c r="AX31" s="20">
        <f t="shared" si="13"/>
        <v>9.3639824136592722</v>
      </c>
      <c r="AY31" s="20">
        <f>SUM($AX$3:AX31)</f>
        <v>-136.20615333440432</v>
      </c>
    </row>
    <row r="32" spans="2:51" x14ac:dyDescent="0.2">
      <c r="B32">
        <v>2054</v>
      </c>
      <c r="C32" s="1">
        <v>0</v>
      </c>
      <c r="D32" s="1">
        <v>50.570734444687197</v>
      </c>
      <c r="E32" s="1">
        <v>0</v>
      </c>
      <c r="F32" s="1">
        <v>14664.3599565575</v>
      </c>
      <c r="G32" s="1">
        <f t="shared" si="0"/>
        <v>80.653979761066253</v>
      </c>
      <c r="H32" s="1">
        <f t="shared" si="1"/>
        <v>30.083245316379056</v>
      </c>
      <c r="I32" s="1">
        <f>SUM($H$3:H32)</f>
        <v>-72.764779395880623</v>
      </c>
      <c r="J32" s="3">
        <v>0</v>
      </c>
      <c r="K32" s="3">
        <v>43.382743416234497</v>
      </c>
      <c r="L32" s="3">
        <v>0</v>
      </c>
      <c r="M32" s="3">
        <v>12550.528964741199</v>
      </c>
      <c r="N32" s="3">
        <f t="shared" si="2"/>
        <v>69.027909306076594</v>
      </c>
      <c r="O32" s="3">
        <f t="shared" si="3"/>
        <v>25.645165889842097</v>
      </c>
      <c r="P32" s="3">
        <f>SUM($O$3:O32)</f>
        <v>-263.4222146939149</v>
      </c>
      <c r="Q32" s="5">
        <v>0</v>
      </c>
      <c r="R32" s="5">
        <v>28.489633862526599</v>
      </c>
      <c r="S32" s="5">
        <v>0</v>
      </c>
      <c r="T32" s="5">
        <v>13718.9665930349</v>
      </c>
      <c r="U32" s="5">
        <f t="shared" si="4"/>
        <v>75.454316261691957</v>
      </c>
      <c r="V32" s="5">
        <f t="shared" si="5"/>
        <v>46.964682399165355</v>
      </c>
      <c r="W32" s="5">
        <f>SUM($V$3:V32)</f>
        <v>851.22609472638987</v>
      </c>
      <c r="X32" s="6">
        <v>10.028941211839992</v>
      </c>
      <c r="Y32" s="6">
        <v>28.489633862526599</v>
      </c>
      <c r="Z32" s="6">
        <v>0</v>
      </c>
      <c r="AA32" s="6">
        <v>14844.495887021099</v>
      </c>
      <c r="AB32" s="6">
        <f t="shared" si="6"/>
        <v>81.644727378616054</v>
      </c>
      <c r="AC32" s="6">
        <f t="shared" si="7"/>
        <v>43.126152304249459</v>
      </c>
      <c r="AD32" s="6">
        <f>SUM($AC$3:AC32)</f>
        <v>-136.62902508035353</v>
      </c>
      <c r="AE32" s="14">
        <v>16.929918830660995</v>
      </c>
      <c r="AF32" s="14">
        <v>48.4482684007274</v>
      </c>
      <c r="AG32" s="14">
        <v>0</v>
      </c>
      <c r="AH32" s="14">
        <v>13000.875226845599</v>
      </c>
      <c r="AI32" s="14">
        <f t="shared" si="8"/>
        <v>71.5048137476508</v>
      </c>
      <c r="AJ32" s="14">
        <f t="shared" si="9"/>
        <v>6.1266265162624052</v>
      </c>
      <c r="AK32" s="14">
        <f>SUM($AJ$3:AJ32)</f>
        <v>-47.83504410945411</v>
      </c>
      <c r="AL32" s="16">
        <v>17.741276671813011</v>
      </c>
      <c r="AM32" s="16">
        <v>35.869589272935897</v>
      </c>
      <c r="AN32" s="16">
        <v>0</v>
      </c>
      <c r="AO32" s="16">
        <v>11681.728423704</v>
      </c>
      <c r="AP32" s="16">
        <f t="shared" si="10"/>
        <v>64.249506330372</v>
      </c>
      <c r="AQ32" s="16">
        <f t="shared" si="11"/>
        <v>10.638640385623091</v>
      </c>
      <c r="AR32" s="16">
        <f>SUM($AQ$3:AQ32)</f>
        <v>-97.496672966732049</v>
      </c>
      <c r="AS32" s="20">
        <v>18.103668381391003</v>
      </c>
      <c r="AT32" s="20">
        <v>32.100798324119999</v>
      </c>
      <c r="AU32" s="20">
        <v>0</v>
      </c>
      <c r="AV32" s="20">
        <v>11178.216499989199</v>
      </c>
      <c r="AW32" s="20">
        <f t="shared" si="12"/>
        <v>61.480190749940597</v>
      </c>
      <c r="AX32" s="20">
        <f t="shared" si="13"/>
        <v>11.275724044429595</v>
      </c>
      <c r="AY32" s="20">
        <f>SUM($AX$3:AX32)</f>
        <v>-124.93042928997473</v>
      </c>
    </row>
    <row r="33" spans="2:51" x14ac:dyDescent="0.2">
      <c r="B33">
        <v>2055</v>
      </c>
      <c r="C33" s="1">
        <v>0</v>
      </c>
      <c r="D33" s="1">
        <v>50.3745810937627</v>
      </c>
      <c r="E33" s="1">
        <v>0</v>
      </c>
      <c r="F33" s="1">
        <v>14987.778768051799</v>
      </c>
      <c r="G33" s="1">
        <f t="shared" si="0"/>
        <v>82.432783224284904</v>
      </c>
      <c r="H33" s="1">
        <f t="shared" si="1"/>
        <v>32.058202130522204</v>
      </c>
      <c r="I33" s="1">
        <f>SUM($H$3:H33)</f>
        <v>-40.706577265358419</v>
      </c>
      <c r="J33" s="3">
        <v>0</v>
      </c>
      <c r="K33" s="3">
        <v>43.019304797650499</v>
      </c>
      <c r="L33" s="3">
        <v>0</v>
      </c>
      <c r="M33" s="3">
        <v>12779.3122224707</v>
      </c>
      <c r="N33" s="3">
        <f t="shared" si="2"/>
        <v>70.286217223588864</v>
      </c>
      <c r="O33" s="3">
        <f t="shared" si="3"/>
        <v>27.266912425938365</v>
      </c>
      <c r="P33" s="3">
        <f>SUM($O$3:O33)</f>
        <v>-236.15530226797654</v>
      </c>
      <c r="Q33" s="5">
        <v>0</v>
      </c>
      <c r="R33" s="5">
        <v>28.0240421663006</v>
      </c>
      <c r="S33" s="5">
        <v>0</v>
      </c>
      <c r="T33" s="5">
        <v>13850.3541336247</v>
      </c>
      <c r="U33" s="5">
        <f t="shared" si="4"/>
        <v>76.176947734935851</v>
      </c>
      <c r="V33" s="5">
        <f t="shared" si="5"/>
        <v>48.152905568635248</v>
      </c>
      <c r="W33" s="5">
        <f>SUM($V$3:V33)</f>
        <v>899.37900029502509</v>
      </c>
      <c r="X33" s="6">
        <v>10.028941211829988</v>
      </c>
      <c r="Y33" s="6">
        <v>28.0240421663006</v>
      </c>
      <c r="Z33" s="6">
        <v>0</v>
      </c>
      <c r="AA33" s="6">
        <v>14985.912368822799</v>
      </c>
      <c r="AB33" s="6">
        <f t="shared" si="6"/>
        <v>82.422518028525403</v>
      </c>
      <c r="AC33" s="6">
        <f t="shared" si="7"/>
        <v>44.369534650394812</v>
      </c>
      <c r="AD33" s="6">
        <f>SUM($AC$3:AC33)</f>
        <v>-92.259490429958717</v>
      </c>
      <c r="AE33" s="14">
        <v>16.929918830661961</v>
      </c>
      <c r="AF33" s="14">
        <v>48.341509468928699</v>
      </c>
      <c r="AG33" s="14">
        <v>0</v>
      </c>
      <c r="AH33" s="14">
        <v>13318.7592073735</v>
      </c>
      <c r="AI33" s="14">
        <f t="shared" si="8"/>
        <v>73.253175640554261</v>
      </c>
      <c r="AJ33" s="14">
        <f t="shared" si="9"/>
        <v>7.9817473409636008</v>
      </c>
      <c r="AK33" s="14">
        <f>SUM($AJ$3:AJ33)</f>
        <v>-39.853296768490509</v>
      </c>
      <c r="AL33" s="16">
        <v>17.741276671811988</v>
      </c>
      <c r="AM33" s="16">
        <v>35.504494423010101</v>
      </c>
      <c r="AN33" s="16">
        <v>0</v>
      </c>
      <c r="AO33" s="16">
        <v>11956.1535323185</v>
      </c>
      <c r="AP33" s="16">
        <f t="shared" si="10"/>
        <v>65.758844427751754</v>
      </c>
      <c r="AQ33" s="16">
        <f t="shared" si="11"/>
        <v>12.513073332929665</v>
      </c>
      <c r="AR33" s="16">
        <f>SUM($AQ$3:AQ33)</f>
        <v>-84.983599633802385</v>
      </c>
      <c r="AS33" s="20">
        <v>18.103668381391003</v>
      </c>
      <c r="AT33" s="20">
        <v>31.6160611615826</v>
      </c>
      <c r="AU33" s="20">
        <v>0</v>
      </c>
      <c r="AV33" s="20">
        <v>11437.67185785</v>
      </c>
      <c r="AW33" s="20">
        <f t="shared" si="12"/>
        <v>62.907195218175005</v>
      </c>
      <c r="AX33" s="20">
        <f t="shared" si="13"/>
        <v>13.187465675201402</v>
      </c>
      <c r="AY33" s="20">
        <f>SUM($AX$3:AX33)</f>
        <v>-111.74296361477332</v>
      </c>
    </row>
    <row r="34" spans="2:51" x14ac:dyDescent="0.2">
      <c r="B34">
        <v>2056</v>
      </c>
      <c r="C34" s="1">
        <v>0</v>
      </c>
      <c r="D34" s="1">
        <v>49.905577582164398</v>
      </c>
      <c r="E34" s="1">
        <v>0</v>
      </c>
      <c r="F34" s="1">
        <v>15321.5955695376</v>
      </c>
      <c r="G34" s="1">
        <f t="shared" si="0"/>
        <v>84.268775632456808</v>
      </c>
      <c r="H34" s="1">
        <f t="shared" si="1"/>
        <v>34.363198050292411</v>
      </c>
      <c r="I34" s="1">
        <f>SUM($H$3:H34)</f>
        <v>-6.3433792150660082</v>
      </c>
      <c r="J34" s="3">
        <v>0</v>
      </c>
      <c r="K34" s="3">
        <v>42.414473100238702</v>
      </c>
      <c r="L34" s="3">
        <v>0</v>
      </c>
      <c r="M34" s="3">
        <v>13011.2700679957</v>
      </c>
      <c r="N34" s="3">
        <f t="shared" si="2"/>
        <v>71.561985373976356</v>
      </c>
      <c r="O34" s="3">
        <f t="shared" si="3"/>
        <v>29.147512273737654</v>
      </c>
      <c r="P34" s="3">
        <f>SUM($O$3:O34)</f>
        <v>-207.00778999423889</v>
      </c>
      <c r="Q34" s="5">
        <v>0</v>
      </c>
      <c r="R34" s="5">
        <v>27.2688416325981</v>
      </c>
      <c r="S34" s="5">
        <v>0</v>
      </c>
      <c r="T34" s="5">
        <v>13969.0120906269</v>
      </c>
      <c r="U34" s="5">
        <f t="shared" si="4"/>
        <v>76.82956649844796</v>
      </c>
      <c r="V34" s="5">
        <f t="shared" si="5"/>
        <v>49.560724865849863</v>
      </c>
      <c r="W34" s="5">
        <f>SUM($V$3:V34)</f>
        <v>948.93972516087501</v>
      </c>
      <c r="X34" s="6">
        <v>29.616294690270024</v>
      </c>
      <c r="Y34" s="6">
        <v>27.2688416325981</v>
      </c>
      <c r="Z34" s="6">
        <v>0</v>
      </c>
      <c r="AA34" s="6">
        <v>15134.1866205152</v>
      </c>
      <c r="AB34" s="6">
        <f t="shared" si="6"/>
        <v>83.238026412833605</v>
      </c>
      <c r="AC34" s="6">
        <f t="shared" si="7"/>
        <v>26.352890089965484</v>
      </c>
      <c r="AD34" s="6">
        <f>SUM($AC$3:AC34)</f>
        <v>-65.906600339993233</v>
      </c>
      <c r="AE34" s="14">
        <v>22.007142164449021</v>
      </c>
      <c r="AF34" s="14">
        <v>48.272524253870401</v>
      </c>
      <c r="AG34" s="14">
        <v>0</v>
      </c>
      <c r="AH34" s="14">
        <v>13681.6821761663</v>
      </c>
      <c r="AI34" s="14">
        <f t="shared" si="8"/>
        <v>75.249251968914649</v>
      </c>
      <c r="AJ34" s="14">
        <f t="shared" si="9"/>
        <v>4.9695855505952267</v>
      </c>
      <c r="AK34" s="14">
        <f>SUM($AJ$3:AJ34)</f>
        <v>-34.883711217895282</v>
      </c>
      <c r="AL34" s="16">
        <v>22.942875695149041</v>
      </c>
      <c r="AM34" s="16">
        <v>34.917520201312897</v>
      </c>
      <c r="AN34" s="16">
        <v>0</v>
      </c>
      <c r="AO34" s="16">
        <v>12271.0677596269</v>
      </c>
      <c r="AP34" s="16">
        <f t="shared" si="10"/>
        <v>67.490872677947948</v>
      </c>
      <c r="AQ34" s="16">
        <f t="shared" si="11"/>
        <v>9.6304767814860099</v>
      </c>
      <c r="AR34" s="16">
        <f>SUM($AQ$3:AQ34)</f>
        <v>-75.353122852316375</v>
      </c>
      <c r="AS34" s="20">
        <v>23.386462904131974</v>
      </c>
      <c r="AT34" s="20">
        <v>31.055478119323901</v>
      </c>
      <c r="AU34" s="20">
        <v>0</v>
      </c>
      <c r="AV34" s="20">
        <v>11736.2000604854</v>
      </c>
      <c r="AW34" s="20">
        <f t="shared" si="12"/>
        <v>64.54910033266971</v>
      </c>
      <c r="AX34" s="20">
        <f t="shared" si="13"/>
        <v>10.107159309213834</v>
      </c>
      <c r="AY34" s="20">
        <f>SUM($AX$3:AX34)</f>
        <v>-101.63580430555947</v>
      </c>
    </row>
    <row r="35" spans="2:51" x14ac:dyDescent="0.2">
      <c r="B35">
        <v>2057</v>
      </c>
      <c r="C35" s="1">
        <v>0</v>
      </c>
      <c r="D35" s="1">
        <v>49.436574070566003</v>
      </c>
      <c r="E35" s="1">
        <v>0</v>
      </c>
      <c r="F35" s="1">
        <v>15655.4123710234</v>
      </c>
      <c r="G35" s="1">
        <f t="shared" si="0"/>
        <v>86.104768040628699</v>
      </c>
      <c r="H35" s="1">
        <f t="shared" si="1"/>
        <v>36.668193970062696</v>
      </c>
      <c r="I35" s="1">
        <f>SUM($H$3:H35)</f>
        <v>30.324814754996687</v>
      </c>
      <c r="J35" s="3">
        <v>0</v>
      </c>
      <c r="K35" s="3">
        <v>41.809641402826898</v>
      </c>
      <c r="L35" s="3">
        <v>0</v>
      </c>
      <c r="M35" s="3">
        <v>13243.227913520701</v>
      </c>
      <c r="N35" s="3">
        <f t="shared" si="2"/>
        <v>72.837753524363862</v>
      </c>
      <c r="O35" s="3">
        <f t="shared" si="3"/>
        <v>31.028112121536964</v>
      </c>
      <c r="P35" s="3">
        <f>SUM($O$3:O35)</f>
        <v>-175.97967787270193</v>
      </c>
      <c r="Q35" s="5">
        <v>0</v>
      </c>
      <c r="R35" s="5">
        <v>26.5136410988957</v>
      </c>
      <c r="S35" s="5">
        <v>0</v>
      </c>
      <c r="T35" s="5">
        <v>14087.670047629101</v>
      </c>
      <c r="U35" s="5">
        <f t="shared" si="4"/>
        <v>77.482185261960069</v>
      </c>
      <c r="V35" s="5">
        <f t="shared" si="5"/>
        <v>50.968544163064365</v>
      </c>
      <c r="W35" s="5">
        <f>SUM($V$3:V35)</f>
        <v>999.90826932393941</v>
      </c>
      <c r="X35" s="6">
        <v>29.616294690270024</v>
      </c>
      <c r="Y35" s="6">
        <v>26.5136410988957</v>
      </c>
      <c r="Z35" s="6">
        <v>0</v>
      </c>
      <c r="AA35" s="6">
        <v>15282.460872207599</v>
      </c>
      <c r="AB35" s="6">
        <f t="shared" si="6"/>
        <v>84.053534797141808</v>
      </c>
      <c r="AC35" s="6">
        <f t="shared" si="7"/>
        <v>27.92359900797608</v>
      </c>
      <c r="AD35" s="6">
        <f>SUM($AC$3:AC35)</f>
        <v>-37.983001332017153</v>
      </c>
      <c r="AE35" s="14">
        <v>22.007142164449988</v>
      </c>
      <c r="AF35" s="14">
        <v>48.203539038812004</v>
      </c>
      <c r="AG35" s="14">
        <v>0</v>
      </c>
      <c r="AH35" s="14">
        <v>14044.6051449591</v>
      </c>
      <c r="AI35" s="14">
        <f t="shared" si="8"/>
        <v>77.245328297275051</v>
      </c>
      <c r="AJ35" s="14">
        <f t="shared" si="9"/>
        <v>7.0346470940130601</v>
      </c>
      <c r="AK35" s="14">
        <f>SUM($AJ$3:AJ35)</f>
        <v>-27.849064123882222</v>
      </c>
      <c r="AL35" s="16">
        <v>22.942875695147961</v>
      </c>
      <c r="AM35" s="16">
        <v>34.3305459796157</v>
      </c>
      <c r="AN35" s="16">
        <v>0</v>
      </c>
      <c r="AO35" s="16">
        <v>12585.9819869353</v>
      </c>
      <c r="AP35" s="16">
        <f t="shared" si="10"/>
        <v>69.222900928144142</v>
      </c>
      <c r="AQ35" s="16">
        <f t="shared" si="11"/>
        <v>11.949479253380481</v>
      </c>
      <c r="AR35" s="16">
        <f>SUM($AQ$3:AQ35)</f>
        <v>-63.403643598935894</v>
      </c>
      <c r="AS35" s="20">
        <v>23.386462904132998</v>
      </c>
      <c r="AT35" s="20">
        <v>30.494895077065198</v>
      </c>
      <c r="AU35" s="20">
        <v>0</v>
      </c>
      <c r="AV35" s="20">
        <v>12034.7282631207</v>
      </c>
      <c r="AW35" s="20">
        <f t="shared" si="12"/>
        <v>66.19100544716386</v>
      </c>
      <c r="AX35" s="20">
        <f t="shared" si="13"/>
        <v>12.309647465965668</v>
      </c>
      <c r="AY35" s="20">
        <f>SUM($AX$3:AX35)</f>
        <v>-89.326156839593807</v>
      </c>
    </row>
    <row r="36" spans="2:51" x14ac:dyDescent="0.2">
      <c r="B36">
        <v>2058</v>
      </c>
      <c r="C36" s="1">
        <v>0</v>
      </c>
      <c r="D36" s="1">
        <v>48.967570558967601</v>
      </c>
      <c r="E36" s="1">
        <v>0</v>
      </c>
      <c r="F36" s="1">
        <v>15989.2291725092</v>
      </c>
      <c r="G36" s="1">
        <f t="shared" si="0"/>
        <v>87.940760448800603</v>
      </c>
      <c r="H36" s="1">
        <f t="shared" si="1"/>
        <v>38.973189889833002</v>
      </c>
      <c r="I36" s="1">
        <f>SUM($H$3:H36)</f>
        <v>69.298004644829689</v>
      </c>
      <c r="J36" s="3">
        <v>0</v>
      </c>
      <c r="K36" s="3">
        <v>41.204809705415101</v>
      </c>
      <c r="L36" s="3">
        <v>0</v>
      </c>
      <c r="M36" s="3">
        <v>13475.1857590456</v>
      </c>
      <c r="N36" s="3">
        <f t="shared" si="2"/>
        <v>74.1135216747508</v>
      </c>
      <c r="O36" s="3">
        <f t="shared" si="3"/>
        <v>32.908711969335698</v>
      </c>
      <c r="P36" s="3">
        <f>SUM($O$3:O36)</f>
        <v>-143.07096590336624</v>
      </c>
      <c r="Q36" s="5">
        <v>0</v>
      </c>
      <c r="R36" s="5">
        <v>25.758440565193201</v>
      </c>
      <c r="S36" s="5">
        <v>0</v>
      </c>
      <c r="T36" s="5">
        <v>14206.328004631199</v>
      </c>
      <c r="U36" s="5">
        <f t="shared" si="4"/>
        <v>78.13480402547161</v>
      </c>
      <c r="V36" s="5">
        <f t="shared" si="5"/>
        <v>52.376363460278412</v>
      </c>
      <c r="W36" s="5">
        <f>SUM($V$3:V36)</f>
        <v>1052.2846327842178</v>
      </c>
      <c r="X36" s="6">
        <v>29.616294690270024</v>
      </c>
      <c r="Y36" s="6">
        <v>25.758440565193201</v>
      </c>
      <c r="Z36" s="6">
        <v>0</v>
      </c>
      <c r="AA36" s="6">
        <v>15430.7351239001</v>
      </c>
      <c r="AB36" s="6">
        <f t="shared" si="6"/>
        <v>84.86904318145055</v>
      </c>
      <c r="AC36" s="6">
        <f t="shared" si="7"/>
        <v>29.494307925987329</v>
      </c>
      <c r="AD36" s="6">
        <f>SUM($AC$3:AC36)</f>
        <v>-8.4886934060298245</v>
      </c>
      <c r="AE36" s="14">
        <v>22.007142164449021</v>
      </c>
      <c r="AF36" s="14">
        <v>48.134553823753599</v>
      </c>
      <c r="AG36" s="14">
        <v>0</v>
      </c>
      <c r="AH36" s="14">
        <v>14407.5281137519</v>
      </c>
      <c r="AI36" s="14">
        <f t="shared" si="8"/>
        <v>79.241404625635454</v>
      </c>
      <c r="AJ36" s="14">
        <f t="shared" si="9"/>
        <v>9.0997086374328333</v>
      </c>
      <c r="AK36" s="14">
        <f>SUM($AJ$3:AJ36)</f>
        <v>-18.749355486449389</v>
      </c>
      <c r="AL36" s="16">
        <v>22.942875695148018</v>
      </c>
      <c r="AM36" s="16">
        <v>33.743571757918502</v>
      </c>
      <c r="AN36" s="16">
        <v>0</v>
      </c>
      <c r="AO36" s="16">
        <v>12900.896214243699</v>
      </c>
      <c r="AP36" s="16">
        <f t="shared" si="10"/>
        <v>70.95492917834035</v>
      </c>
      <c r="AQ36" s="16">
        <f t="shared" si="11"/>
        <v>14.26848172527383</v>
      </c>
      <c r="AR36" s="16">
        <f>SUM($AQ$3:AQ36)</f>
        <v>-49.135161873662064</v>
      </c>
      <c r="AS36" s="20">
        <v>23.386462904132031</v>
      </c>
      <c r="AT36" s="20">
        <v>29.934312034806499</v>
      </c>
      <c r="AU36" s="20">
        <v>0</v>
      </c>
      <c r="AV36" s="20">
        <v>12333.2564657561</v>
      </c>
      <c r="AW36" s="20">
        <f t="shared" si="12"/>
        <v>67.832910561658551</v>
      </c>
      <c r="AX36" s="20">
        <f t="shared" si="13"/>
        <v>14.512135622720024</v>
      </c>
      <c r="AY36" s="20">
        <f>SUM($AX$3:AX36)</f>
        <v>-74.814021216873783</v>
      </c>
    </row>
    <row r="37" spans="2:51" x14ac:dyDescent="0.2">
      <c r="B37">
        <v>2059</v>
      </c>
      <c r="C37" s="1">
        <v>0</v>
      </c>
      <c r="D37" s="1">
        <v>48.4985670473692</v>
      </c>
      <c r="E37" s="1">
        <v>0</v>
      </c>
      <c r="F37" s="1">
        <v>16323.045973995</v>
      </c>
      <c r="G37" s="1">
        <f t="shared" si="0"/>
        <v>89.776752856972507</v>
      </c>
      <c r="H37" s="1">
        <f t="shared" si="1"/>
        <v>41.278185809603308</v>
      </c>
      <c r="I37" s="1">
        <f>SUM($H$3:H37)</f>
        <v>110.576190454433</v>
      </c>
      <c r="J37" s="3">
        <v>0</v>
      </c>
      <c r="K37" s="3">
        <v>40.599978008003298</v>
      </c>
      <c r="L37" s="3">
        <v>0</v>
      </c>
      <c r="M37" s="3">
        <v>13707.1436045706</v>
      </c>
      <c r="N37" s="3">
        <f t="shared" si="2"/>
        <v>75.389289825138306</v>
      </c>
      <c r="O37" s="3">
        <f t="shared" si="3"/>
        <v>34.789311817135008</v>
      </c>
      <c r="P37" s="3">
        <f>SUM($O$3:O37)</f>
        <v>-108.28165408623124</v>
      </c>
      <c r="Q37" s="5">
        <v>0</v>
      </c>
      <c r="R37" s="5">
        <v>25.003240031490702</v>
      </c>
      <c r="S37" s="5">
        <v>0</v>
      </c>
      <c r="T37" s="5">
        <v>14324.9859616334</v>
      </c>
      <c r="U37" s="5">
        <f t="shared" si="4"/>
        <v>78.787422788983704</v>
      </c>
      <c r="V37" s="5">
        <f t="shared" si="5"/>
        <v>53.784182757492999</v>
      </c>
      <c r="W37" s="5">
        <f>SUM($V$3:V37)</f>
        <v>1106.0688155417108</v>
      </c>
      <c r="X37" s="6">
        <v>29.616294690270024</v>
      </c>
      <c r="Y37" s="6">
        <v>25.003240031490702</v>
      </c>
      <c r="Z37" s="6">
        <v>0</v>
      </c>
      <c r="AA37" s="6">
        <v>15579.009375592501</v>
      </c>
      <c r="AB37" s="6">
        <f t="shared" si="6"/>
        <v>85.684551565758753</v>
      </c>
      <c r="AC37" s="6">
        <f t="shared" si="7"/>
        <v>31.065016843998023</v>
      </c>
      <c r="AD37" s="6">
        <f>SUM($AC$3:AC37)</f>
        <v>22.576323437968199</v>
      </c>
      <c r="AE37" s="14">
        <v>22.007142164448965</v>
      </c>
      <c r="AF37" s="14">
        <v>48.065568608695202</v>
      </c>
      <c r="AG37" s="14">
        <v>0</v>
      </c>
      <c r="AH37" s="14">
        <v>14770.4510825447</v>
      </c>
      <c r="AI37" s="14">
        <f t="shared" si="8"/>
        <v>81.237480953995856</v>
      </c>
      <c r="AJ37" s="14">
        <f t="shared" si="9"/>
        <v>11.16477018085169</v>
      </c>
      <c r="AK37" s="14">
        <f>SUM($AJ$3:AJ37)</f>
        <v>-7.5845853055976988</v>
      </c>
      <c r="AL37" s="16">
        <v>22.942875695148018</v>
      </c>
      <c r="AM37" s="16">
        <v>33.156597536221298</v>
      </c>
      <c r="AN37" s="16">
        <v>0</v>
      </c>
      <c r="AO37" s="16">
        <v>13215.810441552099</v>
      </c>
      <c r="AP37" s="16">
        <f t="shared" si="10"/>
        <v>72.686957428536559</v>
      </c>
      <c r="AQ37" s="16">
        <f t="shared" si="11"/>
        <v>16.587484197167242</v>
      </c>
      <c r="AR37" s="16">
        <f>SUM($AQ$3:AQ37)</f>
        <v>-32.547677676494821</v>
      </c>
      <c r="AS37" s="20">
        <v>23.386462904132031</v>
      </c>
      <c r="AT37" s="20">
        <v>29.3737289925478</v>
      </c>
      <c r="AU37" s="20">
        <v>0</v>
      </c>
      <c r="AV37" s="20">
        <v>12631.784668391399</v>
      </c>
      <c r="AW37" s="20">
        <f t="shared" si="12"/>
        <v>69.474815676152701</v>
      </c>
      <c r="AX37" s="20">
        <f t="shared" si="13"/>
        <v>16.714623779472873</v>
      </c>
      <c r="AY37" s="20">
        <f>SUM($AX$3:AX37)</f>
        <v>-58.09939743740091</v>
      </c>
    </row>
    <row r="38" spans="2:51" x14ac:dyDescent="0.2">
      <c r="B38">
        <v>2060</v>
      </c>
      <c r="C38" s="1">
        <v>0</v>
      </c>
      <c r="D38" s="1">
        <v>48.029563535770798</v>
      </c>
      <c r="E38" s="1">
        <v>0</v>
      </c>
      <c r="F38" s="1">
        <v>16656.8627754808</v>
      </c>
      <c r="G38" s="1">
        <f t="shared" si="0"/>
        <v>91.612745265144412</v>
      </c>
      <c r="H38" s="1">
        <f t="shared" si="1"/>
        <v>43.583181729373614</v>
      </c>
      <c r="I38" s="1">
        <f>SUM($H$3:H38)</f>
        <v>154.15937218380662</v>
      </c>
      <c r="J38" s="3">
        <v>0</v>
      </c>
      <c r="K38" s="3">
        <v>39.995146310591501</v>
      </c>
      <c r="L38" s="3">
        <v>0</v>
      </c>
      <c r="M38" s="3">
        <v>13939.101450095601</v>
      </c>
      <c r="N38" s="3">
        <f t="shared" si="2"/>
        <v>76.665057975525812</v>
      </c>
      <c r="O38" s="3">
        <f t="shared" si="3"/>
        <v>36.669911664934311</v>
      </c>
      <c r="P38" s="3">
        <f>SUM($O$3:O38)</f>
        <v>-71.611742421296924</v>
      </c>
      <c r="Q38" s="5">
        <v>0</v>
      </c>
      <c r="R38" s="5">
        <v>24.248039497788199</v>
      </c>
      <c r="S38" s="5">
        <v>0</v>
      </c>
      <c r="T38" s="5">
        <v>14443.6439186355</v>
      </c>
      <c r="U38" s="5">
        <f t="shared" si="4"/>
        <v>79.440041552495259</v>
      </c>
      <c r="V38" s="5">
        <f t="shared" si="5"/>
        <v>55.192002054707061</v>
      </c>
      <c r="W38" s="5">
        <f>SUM($V$3:V38)</f>
        <v>1161.2608175964178</v>
      </c>
      <c r="X38" s="6">
        <v>29.616294690270024</v>
      </c>
      <c r="Y38" s="6">
        <v>24.248039497788199</v>
      </c>
      <c r="Z38" s="6">
        <v>0</v>
      </c>
      <c r="AA38" s="6">
        <v>15727.2836272849</v>
      </c>
      <c r="AB38" s="6">
        <f t="shared" si="6"/>
        <v>86.500059950066955</v>
      </c>
      <c r="AC38" s="6">
        <f t="shared" si="7"/>
        <v>32.635725762008732</v>
      </c>
      <c r="AD38" s="6">
        <f>SUM($AC$3:AC38)</f>
        <v>55.212049199976931</v>
      </c>
      <c r="AE38" s="14">
        <v>22.007142164450045</v>
      </c>
      <c r="AF38" s="14">
        <v>47.996583393636797</v>
      </c>
      <c r="AG38" s="14">
        <v>0</v>
      </c>
      <c r="AH38" s="14">
        <v>15133.3740513375</v>
      </c>
      <c r="AI38" s="14">
        <f t="shared" si="8"/>
        <v>83.233557282356259</v>
      </c>
      <c r="AJ38" s="14">
        <f t="shared" si="9"/>
        <v>13.229831724269417</v>
      </c>
      <c r="AK38" s="14">
        <f>SUM($AJ$3:AJ38)</f>
        <v>5.6452464186717179</v>
      </c>
      <c r="AL38" s="16">
        <v>22.942875695148018</v>
      </c>
      <c r="AM38" s="16">
        <v>32.569623314524101</v>
      </c>
      <c r="AN38" s="16">
        <v>0</v>
      </c>
      <c r="AO38" s="16">
        <v>13530.724668860499</v>
      </c>
      <c r="AP38" s="16">
        <f t="shared" si="10"/>
        <v>74.418985678732753</v>
      </c>
      <c r="AQ38" s="16">
        <f t="shared" si="11"/>
        <v>18.906486669060634</v>
      </c>
      <c r="AR38" s="16">
        <f>SUM($AQ$3:AQ38)</f>
        <v>-13.641191007434188</v>
      </c>
      <c r="AS38" s="20">
        <v>23.386462904131918</v>
      </c>
      <c r="AT38" s="20">
        <v>28.813145950289101</v>
      </c>
      <c r="AU38" s="20">
        <v>0</v>
      </c>
      <c r="AV38" s="20">
        <v>12930.312871026799</v>
      </c>
      <c r="AW38" s="20">
        <f t="shared" si="12"/>
        <v>71.116720790647406</v>
      </c>
      <c r="AX38" s="20">
        <f t="shared" si="13"/>
        <v>18.917111936226391</v>
      </c>
      <c r="AY38" s="20">
        <f>SUM($AX$3:AX38)</f>
        <v>-39.182285501174519</v>
      </c>
    </row>
    <row r="39" spans="2:51" x14ac:dyDescent="0.2">
      <c r="B39">
        <v>2061</v>
      </c>
      <c r="C39" s="1">
        <v>0</v>
      </c>
      <c r="D39" s="1">
        <v>47.308940036086099</v>
      </c>
      <c r="E39" s="1">
        <v>0</v>
      </c>
      <c r="F39" s="1">
        <v>17000.492644336398</v>
      </c>
      <c r="G39" s="1">
        <f t="shared" si="0"/>
        <v>93.502709543850187</v>
      </c>
      <c r="H39" s="1">
        <f t="shared" si="1"/>
        <v>46.193769507764088</v>
      </c>
      <c r="I39" s="1">
        <f>SUM($H$3:H39)</f>
        <v>200.35314169157073</v>
      </c>
      <c r="J39" s="3">
        <v>0</v>
      </c>
      <c r="K39" s="3">
        <v>39.049099578662897</v>
      </c>
      <c r="L39" s="3">
        <v>0</v>
      </c>
      <c r="M39" s="3">
        <v>14175.0056012039</v>
      </c>
      <c r="N39" s="3">
        <f t="shared" si="2"/>
        <v>77.962530806621459</v>
      </c>
      <c r="O39" s="3">
        <f t="shared" si="3"/>
        <v>38.913431227958561</v>
      </c>
      <c r="P39" s="3">
        <f>SUM($O$3:O39)</f>
        <v>-32.698311193338363</v>
      </c>
      <c r="Q39" s="5">
        <v>0</v>
      </c>
      <c r="R39" s="5">
        <v>23.654354493737099</v>
      </c>
      <c r="S39" s="5">
        <v>0</v>
      </c>
      <c r="T39" s="5">
        <v>14551.823670121101</v>
      </c>
      <c r="U39" s="5">
        <f t="shared" si="4"/>
        <v>80.035030185666059</v>
      </c>
      <c r="V39" s="5">
        <f t="shared" si="5"/>
        <v>56.380675691928957</v>
      </c>
      <c r="W39" s="5">
        <f>SUM($V$3:V39)</f>
        <v>1217.6414932883467</v>
      </c>
      <c r="X39" s="6">
        <v>6.1188841476798643</v>
      </c>
      <c r="Y39" s="6">
        <v>23.654354493737099</v>
      </c>
      <c r="Z39" s="6">
        <v>0</v>
      </c>
      <c r="AA39" s="6">
        <v>15841.5822629182</v>
      </c>
      <c r="AB39" s="6">
        <f t="shared" si="6"/>
        <v>87.128702446050113</v>
      </c>
      <c r="AC39" s="6">
        <f t="shared" si="7"/>
        <v>57.355463804633146</v>
      </c>
      <c r="AD39" s="6">
        <f>SUM($AC$3:AC39)</f>
        <v>112.56751300461008</v>
      </c>
      <c r="AE39" s="14">
        <v>28.293634645698944</v>
      </c>
      <c r="AF39" s="14">
        <v>47.719091282451501</v>
      </c>
      <c r="AG39" s="14">
        <v>0</v>
      </c>
      <c r="AH39" s="14">
        <v>15557.7363991359</v>
      </c>
      <c r="AI39" s="14">
        <f t="shared" si="8"/>
        <v>85.567550195247463</v>
      </c>
      <c r="AJ39" s="14">
        <f t="shared" si="9"/>
        <v>9.5548242670970183</v>
      </c>
      <c r="AK39" s="14">
        <f>SUM($AJ$3:AJ39)</f>
        <v>15.200070685768736</v>
      </c>
      <c r="AL39" s="16">
        <v>29.609928557933927</v>
      </c>
      <c r="AM39" s="16">
        <v>31.998585244079901</v>
      </c>
      <c r="AN39" s="16">
        <v>0</v>
      </c>
      <c r="AO39" s="16">
        <v>13898.068652649799</v>
      </c>
      <c r="AP39" s="16">
        <f t="shared" si="10"/>
        <v>76.439377589573894</v>
      </c>
      <c r="AQ39" s="16">
        <f t="shared" si="11"/>
        <v>14.830863787560062</v>
      </c>
      <c r="AR39" s="16">
        <f>SUM($AQ$3:AQ39)</f>
        <v>1.1896727801258749</v>
      </c>
      <c r="AS39" s="20">
        <v>30.073705873447011</v>
      </c>
      <c r="AT39" s="20">
        <v>28.185681312664901</v>
      </c>
      <c r="AU39" s="20">
        <v>0</v>
      </c>
      <c r="AV39" s="20">
        <v>13281.0607588167</v>
      </c>
      <c r="AW39" s="20">
        <f t="shared" si="12"/>
        <v>73.045834173491855</v>
      </c>
      <c r="AX39" s="20">
        <f t="shared" si="13"/>
        <v>14.786446987379946</v>
      </c>
      <c r="AY39" s="20">
        <f>SUM($AX$3:AX39)</f>
        <v>-24.395838513794573</v>
      </c>
    </row>
    <row r="40" spans="2:51" x14ac:dyDescent="0.2">
      <c r="B40">
        <v>2062</v>
      </c>
      <c r="C40" s="1">
        <v>0</v>
      </c>
      <c r="D40" s="1">
        <v>46.588316536401301</v>
      </c>
      <c r="E40" s="1">
        <v>0</v>
      </c>
      <c r="F40" s="1">
        <v>17344.122513192</v>
      </c>
      <c r="G40" s="1">
        <f t="shared" si="0"/>
        <v>95.392673822556006</v>
      </c>
      <c r="H40" s="1">
        <f t="shared" si="1"/>
        <v>48.804357286154705</v>
      </c>
      <c r="I40" s="1">
        <f>SUM($H$3:H40)</f>
        <v>249.15749897772542</v>
      </c>
      <c r="J40" s="3">
        <v>0</v>
      </c>
      <c r="K40" s="3">
        <v>38.103052846734201</v>
      </c>
      <c r="L40" s="3">
        <v>0</v>
      </c>
      <c r="M40" s="3">
        <v>14410.9097523121</v>
      </c>
      <c r="N40" s="3">
        <f t="shared" si="2"/>
        <v>79.260003637716551</v>
      </c>
      <c r="O40" s="3">
        <f t="shared" si="3"/>
        <v>41.15695079098235</v>
      </c>
      <c r="P40" s="3">
        <f>SUM($O$3:O40)</f>
        <v>8.4586395976439874</v>
      </c>
      <c r="Q40" s="5">
        <v>0</v>
      </c>
      <c r="R40" s="5">
        <v>23.060669489686099</v>
      </c>
      <c r="S40" s="5">
        <v>0</v>
      </c>
      <c r="T40" s="5">
        <v>14660.0034216066</v>
      </c>
      <c r="U40" s="5">
        <f t="shared" si="4"/>
        <v>80.630018818836305</v>
      </c>
      <c r="V40" s="5">
        <f t="shared" si="5"/>
        <v>57.569349329150207</v>
      </c>
      <c r="W40" s="5">
        <f>SUM($V$3:V40)</f>
        <v>1275.2108426174968</v>
      </c>
      <c r="X40" s="6">
        <v>6.1188841476800917</v>
      </c>
      <c r="Y40" s="6">
        <v>23.060669489686099</v>
      </c>
      <c r="Z40" s="6">
        <v>0</v>
      </c>
      <c r="AA40" s="6">
        <v>15955.880898551401</v>
      </c>
      <c r="AB40" s="6">
        <f t="shared" si="6"/>
        <v>87.757344942032717</v>
      </c>
      <c r="AC40" s="6">
        <f t="shared" si="7"/>
        <v>58.577791304666533</v>
      </c>
      <c r="AD40" s="6">
        <f>SUM($AC$3:AC40)</f>
        <v>171.14530430927661</v>
      </c>
      <c r="AE40" s="14">
        <v>28.293634645699058</v>
      </c>
      <c r="AF40" s="14">
        <v>47.441599171266198</v>
      </c>
      <c r="AG40" s="14">
        <v>0</v>
      </c>
      <c r="AH40" s="14">
        <v>15982.0987469342</v>
      </c>
      <c r="AI40" s="14">
        <f t="shared" si="8"/>
        <v>87.901543108138114</v>
      </c>
      <c r="AJ40" s="14">
        <f t="shared" si="9"/>
        <v>12.166309291172858</v>
      </c>
      <c r="AK40" s="14">
        <f>SUM($AJ$3:AJ40)</f>
        <v>27.366379976941595</v>
      </c>
      <c r="AL40" s="16">
        <v>29.609928557933017</v>
      </c>
      <c r="AM40" s="16">
        <v>31.427547173635599</v>
      </c>
      <c r="AN40" s="16">
        <v>0</v>
      </c>
      <c r="AO40" s="16">
        <v>14265.4126364391</v>
      </c>
      <c r="AP40" s="16">
        <f t="shared" si="10"/>
        <v>78.459769500415064</v>
      </c>
      <c r="AQ40" s="16">
        <f t="shared" si="11"/>
        <v>17.422293768846444</v>
      </c>
      <c r="AR40" s="16">
        <f>SUM($AQ$3:AQ40)</f>
        <v>18.611966548972319</v>
      </c>
      <c r="AS40" s="20">
        <v>30.073705873445988</v>
      </c>
      <c r="AT40" s="20">
        <v>27.558216675040601</v>
      </c>
      <c r="AU40" s="20">
        <v>0</v>
      </c>
      <c r="AV40" s="20">
        <v>13631.8086466066</v>
      </c>
      <c r="AW40" s="20">
        <f t="shared" si="12"/>
        <v>74.974947556336303</v>
      </c>
      <c r="AX40" s="20">
        <f t="shared" si="13"/>
        <v>17.343025007849718</v>
      </c>
      <c r="AY40" s="20">
        <f>SUM($AX$3:AX40)</f>
        <v>-7.0528135059448545</v>
      </c>
    </row>
    <row r="41" spans="2:51" x14ac:dyDescent="0.2">
      <c r="B41">
        <v>2063</v>
      </c>
      <c r="C41" s="1">
        <v>0</v>
      </c>
      <c r="D41" s="1">
        <v>45.867693036716602</v>
      </c>
      <c r="E41" s="1">
        <v>0</v>
      </c>
      <c r="F41" s="1">
        <v>17687.752382047602</v>
      </c>
      <c r="G41" s="1">
        <f t="shared" si="0"/>
        <v>97.28263810126181</v>
      </c>
      <c r="H41" s="1">
        <f t="shared" si="1"/>
        <v>51.414945064545208</v>
      </c>
      <c r="I41" s="1">
        <f>SUM($H$3:H41)</f>
        <v>300.5724440422706</v>
      </c>
      <c r="J41" s="3">
        <v>0</v>
      </c>
      <c r="K41" s="3">
        <v>37.157006114805498</v>
      </c>
      <c r="L41" s="3">
        <v>0</v>
      </c>
      <c r="M41" s="3">
        <v>14646.8139034204</v>
      </c>
      <c r="N41" s="3">
        <f t="shared" si="2"/>
        <v>80.557476468812197</v>
      </c>
      <c r="O41" s="3">
        <f t="shared" si="3"/>
        <v>43.4004703540067</v>
      </c>
      <c r="P41" s="3">
        <f>SUM($O$3:O41)</f>
        <v>51.859109951650687</v>
      </c>
      <c r="Q41" s="5">
        <v>0</v>
      </c>
      <c r="R41" s="5">
        <v>22.466984485634999</v>
      </c>
      <c r="S41" s="5">
        <v>0</v>
      </c>
      <c r="T41" s="5">
        <v>14768.1831730922</v>
      </c>
      <c r="U41" s="5">
        <f t="shared" si="4"/>
        <v>81.225007452007105</v>
      </c>
      <c r="V41" s="5">
        <f t="shared" si="5"/>
        <v>58.75802296637211</v>
      </c>
      <c r="W41" s="5">
        <f>SUM($V$3:V41)</f>
        <v>1333.968865583869</v>
      </c>
      <c r="X41" s="6">
        <v>6.1188841476800917</v>
      </c>
      <c r="Y41" s="6">
        <v>22.466984485634999</v>
      </c>
      <c r="Z41" s="6">
        <v>0</v>
      </c>
      <c r="AA41" s="6">
        <v>16070.179534184599</v>
      </c>
      <c r="AB41" s="6">
        <f t="shared" si="6"/>
        <v>88.385987438015306</v>
      </c>
      <c r="AC41" s="6">
        <f t="shared" si="7"/>
        <v>59.800118804700219</v>
      </c>
      <c r="AD41" s="6">
        <f>SUM($AC$3:AC41)</f>
        <v>230.94542311397683</v>
      </c>
      <c r="AE41" s="14">
        <v>28.293634645699967</v>
      </c>
      <c r="AF41" s="14">
        <v>47.164107060080902</v>
      </c>
      <c r="AG41" s="14">
        <v>0</v>
      </c>
      <c r="AH41" s="14">
        <v>16406.4610947326</v>
      </c>
      <c r="AI41" s="14">
        <f t="shared" si="8"/>
        <v>90.235536021029304</v>
      </c>
      <c r="AJ41" s="14">
        <f t="shared" si="9"/>
        <v>14.777794315248435</v>
      </c>
      <c r="AK41" s="14">
        <f>SUM($AJ$3:AJ41)</f>
        <v>42.14417429219003</v>
      </c>
      <c r="AL41" s="16">
        <v>29.60992855793404</v>
      </c>
      <c r="AM41" s="16">
        <v>30.856509103191399</v>
      </c>
      <c r="AN41" s="16">
        <v>0</v>
      </c>
      <c r="AO41" s="16">
        <v>14632.7566202284</v>
      </c>
      <c r="AP41" s="16">
        <f t="shared" si="10"/>
        <v>80.480161411256205</v>
      </c>
      <c r="AQ41" s="16">
        <f t="shared" si="11"/>
        <v>20.013723750130765</v>
      </c>
      <c r="AR41" s="16">
        <f>SUM($AQ$3:AQ41)</f>
        <v>38.625690299103084</v>
      </c>
      <c r="AS41" s="20">
        <v>30.073705873445988</v>
      </c>
      <c r="AT41" s="20">
        <v>26.930752037416401</v>
      </c>
      <c r="AU41" s="20">
        <v>0</v>
      </c>
      <c r="AV41" s="20">
        <v>13982.556534396501</v>
      </c>
      <c r="AW41" s="20">
        <f t="shared" si="12"/>
        <v>76.904060939180766</v>
      </c>
      <c r="AX41" s="20">
        <f t="shared" si="13"/>
        <v>19.899603028318381</v>
      </c>
      <c r="AY41" s="20">
        <f>SUM($AX$3:AX41)</f>
        <v>12.846789522373527</v>
      </c>
    </row>
    <row r="42" spans="2:51" x14ac:dyDescent="0.2">
      <c r="B42">
        <v>2064</v>
      </c>
      <c r="C42" s="1">
        <v>0</v>
      </c>
      <c r="D42" s="1">
        <v>45.147069537031904</v>
      </c>
      <c r="E42" s="1">
        <v>0</v>
      </c>
      <c r="F42" s="1">
        <v>18031.382250903102</v>
      </c>
      <c r="G42" s="1">
        <f t="shared" si="0"/>
        <v>99.17260237996706</v>
      </c>
      <c r="H42" s="1">
        <f t="shared" si="1"/>
        <v>54.025532842935156</v>
      </c>
      <c r="I42" s="1">
        <f>SUM($H$3:H42)</f>
        <v>354.59797688520575</v>
      </c>
      <c r="J42" s="3">
        <v>0</v>
      </c>
      <c r="K42" s="3">
        <v>36.210959382876801</v>
      </c>
      <c r="L42" s="3">
        <v>0</v>
      </c>
      <c r="M42" s="3">
        <v>14882.718054528699</v>
      </c>
      <c r="N42" s="3">
        <f t="shared" si="2"/>
        <v>81.854949299907844</v>
      </c>
      <c r="O42" s="3">
        <f t="shared" si="3"/>
        <v>45.643989917031043</v>
      </c>
      <c r="P42" s="3">
        <f>SUM($O$3:O42)</f>
        <v>97.50309986868173</v>
      </c>
      <c r="Q42" s="5">
        <v>0</v>
      </c>
      <c r="R42" s="5">
        <v>21.873299481583899</v>
      </c>
      <c r="S42" s="5">
        <v>0</v>
      </c>
      <c r="T42" s="5">
        <v>14876.362924577799</v>
      </c>
      <c r="U42" s="5">
        <f t="shared" si="4"/>
        <v>81.819996085177905</v>
      </c>
      <c r="V42" s="5">
        <f t="shared" si="5"/>
        <v>59.946696603594006</v>
      </c>
      <c r="W42" s="5">
        <f>SUM($V$3:V42)</f>
        <v>1393.9155621874631</v>
      </c>
      <c r="X42" s="6">
        <v>6.1188841476798643</v>
      </c>
      <c r="Y42" s="6">
        <v>21.873299481583899</v>
      </c>
      <c r="Z42" s="6">
        <v>0</v>
      </c>
      <c r="AA42" s="6">
        <v>16184.478169817899</v>
      </c>
      <c r="AB42" s="6">
        <f t="shared" si="6"/>
        <v>89.014629933998449</v>
      </c>
      <c r="AC42" s="6">
        <f t="shared" si="7"/>
        <v>61.022446304734686</v>
      </c>
      <c r="AD42" s="6">
        <f>SUM($AC$3:AC42)</f>
        <v>291.96786941871153</v>
      </c>
      <c r="AE42" s="14">
        <v>28.293634645699058</v>
      </c>
      <c r="AF42" s="14">
        <v>46.886614948895598</v>
      </c>
      <c r="AG42" s="14">
        <v>0</v>
      </c>
      <c r="AH42" s="14">
        <v>16830.823442531</v>
      </c>
      <c r="AI42" s="14">
        <f t="shared" si="8"/>
        <v>92.569528933920509</v>
      </c>
      <c r="AJ42" s="14">
        <f t="shared" si="9"/>
        <v>17.389279339325853</v>
      </c>
      <c r="AK42" s="14">
        <f>SUM($AJ$3:AJ42)</f>
        <v>59.533453631515883</v>
      </c>
      <c r="AL42" s="16">
        <v>29.609928557933017</v>
      </c>
      <c r="AM42" s="16">
        <v>30.2854710327472</v>
      </c>
      <c r="AN42" s="16">
        <v>0</v>
      </c>
      <c r="AO42" s="16">
        <v>15000.1006040176</v>
      </c>
      <c r="AP42" s="16">
        <f t="shared" si="10"/>
        <v>82.500553322096806</v>
      </c>
      <c r="AQ42" s="16">
        <f t="shared" si="11"/>
        <v>22.605153731416593</v>
      </c>
      <c r="AR42" s="16">
        <f>SUM($AQ$3:AQ42)</f>
        <v>61.230844030519677</v>
      </c>
      <c r="AS42" s="20">
        <v>30.073705873446102</v>
      </c>
      <c r="AT42" s="20">
        <v>26.3032873997922</v>
      </c>
      <c r="AU42" s="20">
        <v>0</v>
      </c>
      <c r="AV42" s="20">
        <v>14333.3044221864</v>
      </c>
      <c r="AW42" s="20">
        <f t="shared" si="12"/>
        <v>78.833174322025215</v>
      </c>
      <c r="AX42" s="20">
        <f t="shared" si="13"/>
        <v>22.456181048786917</v>
      </c>
      <c r="AY42" s="20">
        <f>SUM($AX$3:AX42)</f>
        <v>35.302970571160444</v>
      </c>
    </row>
    <row r="43" spans="2:51" x14ac:dyDescent="0.2">
      <c r="B43">
        <v>2065</v>
      </c>
      <c r="C43" s="1">
        <v>0</v>
      </c>
      <c r="D43" s="1">
        <v>44.426446037347098</v>
      </c>
      <c r="E43" s="1">
        <v>0</v>
      </c>
      <c r="F43" s="1">
        <v>18375.0121197587</v>
      </c>
      <c r="G43" s="1">
        <f t="shared" si="0"/>
        <v>101.06256665867285</v>
      </c>
      <c r="H43" s="1">
        <f t="shared" si="1"/>
        <v>56.636120621325752</v>
      </c>
      <c r="I43" s="1">
        <f>SUM($H$3:H43)</f>
        <v>411.2340975065315</v>
      </c>
      <c r="J43" s="3">
        <v>0</v>
      </c>
      <c r="K43" s="3">
        <v>35.264912650948197</v>
      </c>
      <c r="L43" s="3">
        <v>0</v>
      </c>
      <c r="M43" s="3">
        <v>15118.622205637001</v>
      </c>
      <c r="N43" s="3">
        <f t="shared" si="2"/>
        <v>83.152422131003505</v>
      </c>
      <c r="O43" s="3">
        <f t="shared" si="3"/>
        <v>47.887509480055307</v>
      </c>
      <c r="P43" s="3">
        <f>SUM($O$3:O43)</f>
        <v>145.39060934873703</v>
      </c>
      <c r="Q43" s="5">
        <v>0</v>
      </c>
      <c r="R43" s="5">
        <v>21.2796144775328</v>
      </c>
      <c r="S43" s="5">
        <v>0</v>
      </c>
      <c r="T43" s="5">
        <v>14984.5426760633</v>
      </c>
      <c r="U43" s="5">
        <f t="shared" si="4"/>
        <v>82.414984718348151</v>
      </c>
      <c r="V43" s="5">
        <f t="shared" si="5"/>
        <v>61.135370240815348</v>
      </c>
      <c r="W43" s="5">
        <f>SUM($V$3:V43)</f>
        <v>1455.0509324282784</v>
      </c>
      <c r="X43" s="6">
        <v>6.1188841476800917</v>
      </c>
      <c r="Y43" s="6">
        <v>21.2796144775328</v>
      </c>
      <c r="Z43" s="6">
        <v>0</v>
      </c>
      <c r="AA43" s="6">
        <v>16298.7768054511</v>
      </c>
      <c r="AB43" s="6">
        <f t="shared" si="6"/>
        <v>89.643272429981053</v>
      </c>
      <c r="AC43" s="6">
        <f t="shared" si="7"/>
        <v>62.244773804768158</v>
      </c>
      <c r="AD43" s="6">
        <f>SUM($AC$3:AC43)</f>
        <v>354.21264322347969</v>
      </c>
      <c r="AE43" s="14">
        <v>28.293634645698944</v>
      </c>
      <c r="AF43" s="14">
        <v>46.609122837710302</v>
      </c>
      <c r="AG43" s="14">
        <v>0</v>
      </c>
      <c r="AH43" s="14">
        <v>17255.185790329298</v>
      </c>
      <c r="AI43" s="14">
        <f t="shared" si="8"/>
        <v>94.903521846811145</v>
      </c>
      <c r="AJ43" s="14">
        <f t="shared" si="9"/>
        <v>20.000764363401899</v>
      </c>
      <c r="AK43" s="14">
        <f>SUM($AJ$3:AJ43)</f>
        <v>79.534217994917782</v>
      </c>
      <c r="AL43" s="16">
        <v>29.609928557933927</v>
      </c>
      <c r="AM43" s="16">
        <v>29.714432962302901</v>
      </c>
      <c r="AN43" s="16">
        <v>0</v>
      </c>
      <c r="AO43" s="16">
        <v>15367.4445878069</v>
      </c>
      <c r="AP43" s="16">
        <f t="shared" si="10"/>
        <v>84.520945232937947</v>
      </c>
      <c r="AQ43" s="16">
        <f t="shared" si="11"/>
        <v>25.19658371270112</v>
      </c>
      <c r="AR43" s="16">
        <f>SUM($AQ$3:AQ43)</f>
        <v>86.42742774322079</v>
      </c>
      <c r="AS43" s="20">
        <v>30.073705873445988</v>
      </c>
      <c r="AT43" s="20">
        <v>25.6758227621679</v>
      </c>
      <c r="AU43" s="20">
        <v>0</v>
      </c>
      <c r="AV43" s="20">
        <v>14684.0523099763</v>
      </c>
      <c r="AW43" s="20">
        <f t="shared" si="12"/>
        <v>80.762287704869664</v>
      </c>
      <c r="AX43" s="20">
        <f t="shared" si="13"/>
        <v>25.012759069255779</v>
      </c>
      <c r="AY43" s="20">
        <f>SUM($AX$3:AX43)</f>
        <v>60.315729640416222</v>
      </c>
    </row>
    <row r="44" spans="2:51" x14ac:dyDescent="0.2">
      <c r="B44">
        <v>2066</v>
      </c>
      <c r="C44" s="1">
        <v>0</v>
      </c>
      <c r="D44" s="1">
        <v>43.357467235523501</v>
      </c>
      <c r="E44" s="1">
        <v>0</v>
      </c>
      <c r="F44" s="1">
        <v>18716.3158001837</v>
      </c>
      <c r="G44" s="1">
        <f t="shared" si="0"/>
        <v>102.93973690101036</v>
      </c>
      <c r="H44" s="1">
        <f t="shared" si="1"/>
        <v>59.582269665486862</v>
      </c>
      <c r="I44" s="1">
        <f>SUM($H$3:H44)</f>
        <v>470.81636717201837</v>
      </c>
      <c r="J44" s="3">
        <v>0</v>
      </c>
      <c r="K44" s="3">
        <v>34.356259756781803</v>
      </c>
      <c r="L44" s="3">
        <v>0</v>
      </c>
      <c r="M44" s="3">
        <v>15352.161735727601</v>
      </c>
      <c r="N44" s="3">
        <f t="shared" si="2"/>
        <v>84.436889546501803</v>
      </c>
      <c r="O44" s="3">
        <f t="shared" si="3"/>
        <v>50.08062978972</v>
      </c>
      <c r="P44" s="3">
        <f>SUM($O$3:O44)</f>
        <v>195.47123913845704</v>
      </c>
      <c r="Q44" s="5">
        <v>0</v>
      </c>
      <c r="R44" s="5">
        <v>20.635309572145498</v>
      </c>
      <c r="S44" s="5">
        <v>0</v>
      </c>
      <c r="T44" s="5">
        <v>15079.5402521749</v>
      </c>
      <c r="U44" s="5">
        <f t="shared" si="4"/>
        <v>82.93747138696196</v>
      </c>
      <c r="V44" s="5">
        <f t="shared" si="5"/>
        <v>62.302161814816458</v>
      </c>
      <c r="W44" s="5">
        <f>SUM($V$3:V44)</f>
        <v>1517.3530942430948</v>
      </c>
      <c r="X44" s="6">
        <v>15.81271133573</v>
      </c>
      <c r="Y44" s="6">
        <v>20.635309572145498</v>
      </c>
      <c r="Z44" s="6">
        <v>0</v>
      </c>
      <c r="AA44" s="6">
        <v>16409.5870928984</v>
      </c>
      <c r="AB44" s="6">
        <f t="shared" si="6"/>
        <v>90.252729010941209</v>
      </c>
      <c r="AC44" s="6">
        <f t="shared" si="7"/>
        <v>53.804708103065707</v>
      </c>
      <c r="AD44" s="6">
        <f>SUM($AC$3:AC44)</f>
        <v>408.01735132654539</v>
      </c>
      <c r="AE44" s="14">
        <v>36.654459044293958</v>
      </c>
      <c r="AF44" s="14">
        <v>46.307275578904502</v>
      </c>
      <c r="AG44" s="14">
        <v>0</v>
      </c>
      <c r="AH44" s="14">
        <v>17749.978691096399</v>
      </c>
      <c r="AI44" s="14">
        <f t="shared" si="8"/>
        <v>97.624882801030196</v>
      </c>
      <c r="AJ44" s="14">
        <f t="shared" si="9"/>
        <v>14.663148177831737</v>
      </c>
      <c r="AK44" s="14">
        <f>SUM($AJ$3:AJ44)</f>
        <v>94.197366172749526</v>
      </c>
      <c r="AL44" s="16">
        <v>38.032173141872022</v>
      </c>
      <c r="AM44" s="16">
        <v>29.205654423943098</v>
      </c>
      <c r="AN44" s="16">
        <v>0</v>
      </c>
      <c r="AO44" s="16">
        <v>15800.12332117</v>
      </c>
      <c r="AP44" s="16">
        <f t="shared" si="10"/>
        <v>86.900678266435008</v>
      </c>
      <c r="AQ44" s="16">
        <f t="shared" si="11"/>
        <v>19.662850700619884</v>
      </c>
      <c r="AR44" s="16">
        <f>SUM($AQ$3:AQ44)</f>
        <v>106.09027844384067</v>
      </c>
      <c r="AS44" s="20">
        <v>38.75194868911592</v>
      </c>
      <c r="AT44" s="20">
        <v>25.112736379108998</v>
      </c>
      <c r="AU44" s="20">
        <v>0</v>
      </c>
      <c r="AV44" s="20">
        <v>15097.610335260801</v>
      </c>
      <c r="AW44" s="20">
        <f t="shared" si="12"/>
        <v>83.036856843934402</v>
      </c>
      <c r="AX44" s="20">
        <f t="shared" si="13"/>
        <v>19.172171775709486</v>
      </c>
      <c r="AY44" s="20">
        <f>SUM($AX$3:AX44)</f>
        <v>79.487901416125709</v>
      </c>
    </row>
    <row r="45" spans="2:51" x14ac:dyDescent="0.2">
      <c r="B45">
        <v>2067</v>
      </c>
      <c r="C45" s="1">
        <v>0</v>
      </c>
      <c r="D45" s="1">
        <v>42.288488433699897</v>
      </c>
      <c r="E45" s="1">
        <v>0</v>
      </c>
      <c r="F45" s="1">
        <v>19057.619480608799</v>
      </c>
      <c r="G45" s="1">
        <f t="shared" si="0"/>
        <v>104.81690714334839</v>
      </c>
      <c r="H45" s="1">
        <f t="shared" si="1"/>
        <v>62.528418709648491</v>
      </c>
      <c r="I45" s="1">
        <f>SUM($H$3:H45)</f>
        <v>533.34478588166689</v>
      </c>
      <c r="J45" s="3">
        <v>0</v>
      </c>
      <c r="K45" s="3">
        <v>33.447606862615501</v>
      </c>
      <c r="L45" s="3">
        <v>0</v>
      </c>
      <c r="M45" s="3">
        <v>15585.701265818199</v>
      </c>
      <c r="N45" s="3">
        <f t="shared" si="2"/>
        <v>85.721356962000101</v>
      </c>
      <c r="O45" s="3">
        <f t="shared" si="3"/>
        <v>52.2737500993846</v>
      </c>
      <c r="P45" s="3">
        <f>SUM($O$3:O45)</f>
        <v>247.74498923784165</v>
      </c>
      <c r="Q45" s="5">
        <v>0</v>
      </c>
      <c r="R45" s="5">
        <v>19.991004666758101</v>
      </c>
      <c r="S45" s="5">
        <v>0</v>
      </c>
      <c r="T45" s="5">
        <v>15174.5378282865</v>
      </c>
      <c r="U45" s="5">
        <f t="shared" si="4"/>
        <v>83.459958055575754</v>
      </c>
      <c r="V45" s="5">
        <f t="shared" si="5"/>
        <v>63.468953388817653</v>
      </c>
      <c r="W45" s="5">
        <f>SUM($V$3:V45)</f>
        <v>1580.8220476319125</v>
      </c>
      <c r="X45" s="6">
        <v>15.812711335719996</v>
      </c>
      <c r="Y45" s="6">
        <v>19.991004666758101</v>
      </c>
      <c r="Z45" s="6">
        <v>0</v>
      </c>
      <c r="AA45" s="6">
        <v>16520.397380345799</v>
      </c>
      <c r="AB45" s="6">
        <f t="shared" si="6"/>
        <v>90.862185591901891</v>
      </c>
      <c r="AC45" s="6">
        <f t="shared" si="7"/>
        <v>55.058469589423794</v>
      </c>
      <c r="AD45" s="6">
        <f>SUM($AC$3:AC45)</f>
        <v>463.07582091596919</v>
      </c>
      <c r="AE45" s="14">
        <v>36.654459044294072</v>
      </c>
      <c r="AF45" s="14">
        <v>46.005428320098702</v>
      </c>
      <c r="AG45" s="14">
        <v>0</v>
      </c>
      <c r="AH45" s="14">
        <v>18244.7715918635</v>
      </c>
      <c r="AI45" s="14">
        <f t="shared" si="8"/>
        <v>100.34624375524925</v>
      </c>
      <c r="AJ45" s="14">
        <f t="shared" si="9"/>
        <v>17.686356390856474</v>
      </c>
      <c r="AK45" s="14">
        <f>SUM($AJ$3:AJ45)</f>
        <v>111.883722563606</v>
      </c>
      <c r="AL45" s="16">
        <v>38.032173141870999</v>
      </c>
      <c r="AM45" s="16">
        <v>28.696875885583299</v>
      </c>
      <c r="AN45" s="16">
        <v>0</v>
      </c>
      <c r="AO45" s="16">
        <v>16232.8020545331</v>
      </c>
      <c r="AP45" s="16">
        <f t="shared" si="10"/>
        <v>89.280411299932055</v>
      </c>
      <c r="AQ45" s="16">
        <f t="shared" si="11"/>
        <v>22.55136227247776</v>
      </c>
      <c r="AR45" s="16">
        <f>SUM($AQ$3:AQ45)</f>
        <v>128.64164071631842</v>
      </c>
      <c r="AS45" s="20">
        <v>38.751948689116034</v>
      </c>
      <c r="AT45" s="20">
        <v>24.5496499960501</v>
      </c>
      <c r="AU45" s="20">
        <v>0</v>
      </c>
      <c r="AV45" s="20">
        <v>15511.1683605454</v>
      </c>
      <c r="AW45" s="20">
        <f t="shared" si="12"/>
        <v>85.311425982999708</v>
      </c>
      <c r="AX45" s="20">
        <f t="shared" si="13"/>
        <v>22.009827297833574</v>
      </c>
      <c r="AY45" s="20">
        <f>SUM($AX$3:AX45)</f>
        <v>101.49772871395928</v>
      </c>
    </row>
    <row r="46" spans="2:51" x14ac:dyDescent="0.2">
      <c r="B46">
        <v>2068</v>
      </c>
      <c r="C46" s="1">
        <v>0</v>
      </c>
      <c r="D46" s="1">
        <v>41.219509631876299</v>
      </c>
      <c r="E46" s="1">
        <v>0</v>
      </c>
      <c r="F46" s="1">
        <v>19398.923161033799</v>
      </c>
      <c r="G46" s="1">
        <f t="shared" si="0"/>
        <v>106.69407738568589</v>
      </c>
      <c r="H46" s="1">
        <f t="shared" si="1"/>
        <v>65.474567753809595</v>
      </c>
      <c r="I46" s="1">
        <f>SUM($H$3:H46)</f>
        <v>598.81935363547655</v>
      </c>
      <c r="J46" s="3">
        <v>0</v>
      </c>
      <c r="K46" s="3">
        <v>32.5389539684491</v>
      </c>
      <c r="L46" s="3">
        <v>0</v>
      </c>
      <c r="M46" s="3">
        <v>15819.2407959089</v>
      </c>
      <c r="N46" s="3">
        <f t="shared" si="2"/>
        <v>87.005824377498953</v>
      </c>
      <c r="O46" s="3">
        <f t="shared" si="3"/>
        <v>54.466870409049854</v>
      </c>
      <c r="P46" s="3">
        <f>SUM($O$3:O46)</f>
        <v>302.21185964689153</v>
      </c>
      <c r="Q46" s="5">
        <v>0</v>
      </c>
      <c r="R46" s="5">
        <v>19.3466997613708</v>
      </c>
      <c r="S46" s="5">
        <v>0</v>
      </c>
      <c r="T46" s="5">
        <v>15269.535404398101</v>
      </c>
      <c r="U46" s="5">
        <f t="shared" si="4"/>
        <v>83.982444724189563</v>
      </c>
      <c r="V46" s="5">
        <f t="shared" si="5"/>
        <v>64.635744962818762</v>
      </c>
      <c r="W46" s="5">
        <f>SUM($V$3:V46)</f>
        <v>1645.4577925947312</v>
      </c>
      <c r="X46" s="6">
        <v>15.812711335719996</v>
      </c>
      <c r="Y46" s="6">
        <v>19.3466997613708</v>
      </c>
      <c r="Z46" s="6">
        <v>0</v>
      </c>
      <c r="AA46" s="6">
        <v>16631.2076677931</v>
      </c>
      <c r="AB46" s="6">
        <f t="shared" si="6"/>
        <v>91.471642172862062</v>
      </c>
      <c r="AC46" s="6">
        <f t="shared" si="7"/>
        <v>56.312231075771265</v>
      </c>
      <c r="AD46" s="6">
        <f>SUM($AC$3:AC46)</f>
        <v>519.38805199174044</v>
      </c>
      <c r="AE46" s="14">
        <v>36.654459044293958</v>
      </c>
      <c r="AF46" s="14">
        <v>45.703581061293001</v>
      </c>
      <c r="AG46" s="14">
        <v>0</v>
      </c>
      <c r="AH46" s="14">
        <v>18739.564492630601</v>
      </c>
      <c r="AI46" s="14">
        <f t="shared" si="8"/>
        <v>103.06760470946831</v>
      </c>
      <c r="AJ46" s="14">
        <f t="shared" si="9"/>
        <v>20.709564603881354</v>
      </c>
      <c r="AK46" s="14">
        <f>SUM($AJ$3:AJ46)</f>
        <v>132.59328716748735</v>
      </c>
      <c r="AL46" s="16">
        <v>38.032173141872022</v>
      </c>
      <c r="AM46" s="16">
        <v>28.188097347223501</v>
      </c>
      <c r="AN46" s="16">
        <v>0</v>
      </c>
      <c r="AO46" s="16">
        <v>16665.4807878963</v>
      </c>
      <c r="AP46" s="16">
        <f t="shared" si="10"/>
        <v>91.660144333429656</v>
      </c>
      <c r="AQ46" s="16">
        <f t="shared" si="11"/>
        <v>25.43987384433413</v>
      </c>
      <c r="AR46" s="16">
        <f>SUM($AQ$3:AQ46)</f>
        <v>154.08151456065255</v>
      </c>
      <c r="AS46" s="20">
        <v>38.751948689116034</v>
      </c>
      <c r="AT46" s="20">
        <v>23.986563612991102</v>
      </c>
      <c r="AU46" s="20">
        <v>0</v>
      </c>
      <c r="AV46" s="20">
        <v>15924.726385829899</v>
      </c>
      <c r="AW46" s="20">
        <f t="shared" si="12"/>
        <v>87.585995122064446</v>
      </c>
      <c r="AX46" s="20">
        <f t="shared" si="13"/>
        <v>24.847482819957307</v>
      </c>
      <c r="AY46" s="20">
        <f>SUM($AX$3:AX46)</f>
        <v>126.34521153391658</v>
      </c>
    </row>
    <row r="47" spans="2:51" x14ac:dyDescent="0.2">
      <c r="B47">
        <v>2069</v>
      </c>
      <c r="C47" s="1">
        <v>0</v>
      </c>
      <c r="D47" s="1">
        <v>40.150530830052602</v>
      </c>
      <c r="E47" s="1">
        <v>0</v>
      </c>
      <c r="F47" s="1">
        <v>19740.226841458902</v>
      </c>
      <c r="G47" s="1">
        <f t="shared" si="0"/>
        <v>108.57124762802397</v>
      </c>
      <c r="H47" s="1">
        <f t="shared" si="1"/>
        <v>68.420716797971366</v>
      </c>
      <c r="I47" s="1">
        <f>SUM($H$3:H47)</f>
        <v>667.24007043344795</v>
      </c>
      <c r="J47" s="3">
        <v>0</v>
      </c>
      <c r="K47" s="3">
        <v>31.630301074282801</v>
      </c>
      <c r="L47" s="3">
        <v>0</v>
      </c>
      <c r="M47" s="3">
        <v>16052.7803259995</v>
      </c>
      <c r="N47" s="3">
        <f t="shared" si="2"/>
        <v>88.290291792997266</v>
      </c>
      <c r="O47" s="3">
        <f t="shared" si="3"/>
        <v>56.659990718714468</v>
      </c>
      <c r="P47" s="3">
        <f>SUM($O$3:O47)</f>
        <v>358.87185036560601</v>
      </c>
      <c r="Q47" s="5">
        <v>0</v>
      </c>
      <c r="R47" s="5">
        <v>18.7023948559834</v>
      </c>
      <c r="S47" s="5">
        <v>0</v>
      </c>
      <c r="T47" s="5">
        <v>15364.532980509701</v>
      </c>
      <c r="U47" s="5">
        <f t="shared" si="4"/>
        <v>84.504931392803371</v>
      </c>
      <c r="V47" s="5">
        <f t="shared" si="5"/>
        <v>65.802536536819972</v>
      </c>
      <c r="W47" s="5">
        <f>SUM($V$3:V47)</f>
        <v>1711.2603291315513</v>
      </c>
      <c r="X47" s="6">
        <v>15.812711335719996</v>
      </c>
      <c r="Y47" s="6">
        <v>18.7023948559834</v>
      </c>
      <c r="Z47" s="6">
        <v>0</v>
      </c>
      <c r="AA47" s="6">
        <v>16742.017955240401</v>
      </c>
      <c r="AB47" s="6">
        <f t="shared" si="6"/>
        <v>92.081098753822218</v>
      </c>
      <c r="AC47" s="6">
        <f t="shared" si="7"/>
        <v>57.565992562118822</v>
      </c>
      <c r="AD47" s="6">
        <f>SUM($AC$3:AC47)</f>
        <v>576.95404455385926</v>
      </c>
      <c r="AE47" s="14">
        <v>36.654459044294981</v>
      </c>
      <c r="AF47" s="14">
        <v>45.4017338024872</v>
      </c>
      <c r="AG47" s="14">
        <v>0</v>
      </c>
      <c r="AH47" s="14">
        <v>19234.357393397699</v>
      </c>
      <c r="AI47" s="14">
        <f t="shared" si="8"/>
        <v>105.78896566368735</v>
      </c>
      <c r="AJ47" s="14">
        <f t="shared" si="9"/>
        <v>23.732772816905168</v>
      </c>
      <c r="AK47" s="14">
        <f>SUM($AJ$3:AJ47)</f>
        <v>156.32605998439251</v>
      </c>
      <c r="AL47" s="16">
        <v>38.032173141872022</v>
      </c>
      <c r="AM47" s="16">
        <v>27.679318808863702</v>
      </c>
      <c r="AN47" s="16">
        <v>0</v>
      </c>
      <c r="AO47" s="16">
        <v>17098.1595212594</v>
      </c>
      <c r="AP47" s="16">
        <f t="shared" si="10"/>
        <v>94.039877366926703</v>
      </c>
      <c r="AQ47" s="16">
        <f t="shared" si="11"/>
        <v>28.328385416190983</v>
      </c>
      <c r="AR47" s="16">
        <f>SUM($AQ$3:AQ47)</f>
        <v>182.40989997684352</v>
      </c>
      <c r="AS47" s="20">
        <v>38.75194868911592</v>
      </c>
      <c r="AT47" s="20">
        <v>23.4234772299322</v>
      </c>
      <c r="AU47" s="20">
        <v>0</v>
      </c>
      <c r="AV47" s="20">
        <v>16338.2844111144</v>
      </c>
      <c r="AW47" s="20">
        <f t="shared" si="12"/>
        <v>89.860564261129213</v>
      </c>
      <c r="AX47" s="20">
        <f t="shared" si="13"/>
        <v>27.685138342081089</v>
      </c>
      <c r="AY47" s="20">
        <f>SUM($AX$3:AX47)</f>
        <v>154.03034987599767</v>
      </c>
    </row>
    <row r="48" spans="2:51" x14ac:dyDescent="0.2">
      <c r="B48">
        <v>2070</v>
      </c>
      <c r="C48" s="1">
        <v>0</v>
      </c>
      <c r="D48" s="1">
        <v>39.081552028228998</v>
      </c>
      <c r="E48" s="1">
        <v>0</v>
      </c>
      <c r="F48" s="1">
        <v>20081.530521883898</v>
      </c>
      <c r="G48" s="1">
        <f t="shared" si="0"/>
        <v>110.44841787036144</v>
      </c>
      <c r="H48" s="1">
        <f t="shared" si="1"/>
        <v>71.366865842132441</v>
      </c>
      <c r="I48" s="1">
        <f>SUM($H$3:H48)</f>
        <v>738.60693627558044</v>
      </c>
      <c r="J48" s="3">
        <v>0</v>
      </c>
      <c r="K48" s="3">
        <v>30.7216481801164</v>
      </c>
      <c r="L48" s="3">
        <v>0</v>
      </c>
      <c r="M48" s="3">
        <v>16286.3198560901</v>
      </c>
      <c r="N48" s="3">
        <f t="shared" si="2"/>
        <v>89.57475920849555</v>
      </c>
      <c r="O48" s="3">
        <f t="shared" si="3"/>
        <v>58.853111028379146</v>
      </c>
      <c r="P48" s="3">
        <f>SUM($O$3:O48)</f>
        <v>417.72496139398515</v>
      </c>
      <c r="Q48" s="5">
        <v>0</v>
      </c>
      <c r="R48" s="5">
        <v>18.058089950596099</v>
      </c>
      <c r="S48" s="5">
        <v>0</v>
      </c>
      <c r="T48" s="5">
        <v>15459.530556621399</v>
      </c>
      <c r="U48" s="5">
        <f t="shared" si="4"/>
        <v>85.027418061417706</v>
      </c>
      <c r="V48" s="5">
        <f t="shared" si="5"/>
        <v>66.969328110821607</v>
      </c>
      <c r="W48" s="5">
        <f>SUM($V$3:V48)</f>
        <v>1778.2296572423729</v>
      </c>
      <c r="X48" s="6">
        <v>15.812711335719996</v>
      </c>
      <c r="Y48" s="6">
        <v>18.058089950596099</v>
      </c>
      <c r="Z48" s="6">
        <v>0</v>
      </c>
      <c r="AA48" s="6">
        <v>16852.8282426878</v>
      </c>
      <c r="AB48" s="6">
        <f t="shared" si="6"/>
        <v>92.690555334782914</v>
      </c>
      <c r="AC48" s="6">
        <f t="shared" si="7"/>
        <v>58.81975404846682</v>
      </c>
      <c r="AD48" s="6">
        <f>SUM($AC$3:AC48)</f>
        <v>635.77379860232611</v>
      </c>
      <c r="AE48" s="14">
        <v>36.654459044294072</v>
      </c>
      <c r="AF48" s="14">
        <v>45.0998865436814</v>
      </c>
      <c r="AG48" s="14">
        <v>0</v>
      </c>
      <c r="AH48" s="14">
        <v>19729.150294164701</v>
      </c>
      <c r="AI48" s="14">
        <f t="shared" si="8"/>
        <v>108.51032661790587</v>
      </c>
      <c r="AJ48" s="14">
        <f t="shared" si="9"/>
        <v>26.755981029930403</v>
      </c>
      <c r="AK48" s="14">
        <f>SUM($AJ$3:AJ48)</f>
        <v>183.08204101432293</v>
      </c>
      <c r="AL48" s="16">
        <v>38.032173141872022</v>
      </c>
      <c r="AM48" s="16">
        <v>27.170540270503899</v>
      </c>
      <c r="AN48" s="16">
        <v>0</v>
      </c>
      <c r="AO48" s="16">
        <v>17530.8382546225</v>
      </c>
      <c r="AP48" s="16">
        <f t="shared" si="10"/>
        <v>96.419610400423764</v>
      </c>
      <c r="AQ48" s="16">
        <f t="shared" si="11"/>
        <v>31.216896988047836</v>
      </c>
      <c r="AR48" s="16">
        <f>SUM($AQ$3:AQ48)</f>
        <v>213.62679696489135</v>
      </c>
      <c r="AS48" s="20">
        <v>38.751948689115011</v>
      </c>
      <c r="AT48" s="20">
        <v>22.860390846873301</v>
      </c>
      <c r="AU48" s="20">
        <v>0</v>
      </c>
      <c r="AV48" s="20">
        <v>16751.8424363989</v>
      </c>
      <c r="AW48" s="20">
        <f t="shared" si="12"/>
        <v>92.135133400193951</v>
      </c>
      <c r="AX48" s="20">
        <f t="shared" si="13"/>
        <v>30.522793864205639</v>
      </c>
      <c r="AY48" s="20">
        <f>SUM($AX$3:AX48)</f>
        <v>184.55314374020332</v>
      </c>
    </row>
    <row r="49" spans="2:51" x14ac:dyDescent="0.2">
      <c r="B49">
        <v>2071</v>
      </c>
      <c r="C49" s="1">
        <v>0</v>
      </c>
      <c r="D49" s="1">
        <v>38.167060498021598</v>
      </c>
      <c r="E49" s="1">
        <v>0</v>
      </c>
      <c r="F49" s="1">
        <v>20412.872533229402</v>
      </c>
      <c r="G49" s="1">
        <f t="shared" si="0"/>
        <v>112.27079893276171</v>
      </c>
      <c r="H49" s="1">
        <f t="shared" si="1"/>
        <v>74.103738434740109</v>
      </c>
      <c r="I49" s="1">
        <f>SUM($H$3:H49)</f>
        <v>812.71067471032052</v>
      </c>
      <c r="J49" s="3">
        <v>0</v>
      </c>
      <c r="K49" s="3">
        <v>29.9453928124322</v>
      </c>
      <c r="L49" s="3">
        <v>0</v>
      </c>
      <c r="M49" s="3">
        <v>16515.984529309</v>
      </c>
      <c r="N49" s="3">
        <f t="shared" si="2"/>
        <v>90.837914911199505</v>
      </c>
      <c r="O49" s="3">
        <f t="shared" si="3"/>
        <v>60.892522098767301</v>
      </c>
      <c r="P49" s="3">
        <f>SUM($O$3:O49)</f>
        <v>478.61748349275246</v>
      </c>
      <c r="Q49" s="5">
        <v>0</v>
      </c>
      <c r="R49" s="5">
        <v>17.5264491406109</v>
      </c>
      <c r="S49" s="5">
        <v>0</v>
      </c>
      <c r="T49" s="5">
        <v>15542.244666528801</v>
      </c>
      <c r="U49" s="5">
        <f t="shared" si="4"/>
        <v>85.482345665908412</v>
      </c>
      <c r="V49" s="5">
        <f t="shared" si="5"/>
        <v>67.955896525297504</v>
      </c>
      <c r="W49" s="5">
        <f>SUM($V$3:V49)</f>
        <v>1846.1855537676704</v>
      </c>
      <c r="X49" s="6">
        <v>2.7191254613398996</v>
      </c>
      <c r="Y49" s="6">
        <v>17.5264491406109</v>
      </c>
      <c r="Z49" s="6">
        <v>0</v>
      </c>
      <c r="AA49" s="6">
        <v>16938.2614780566</v>
      </c>
      <c r="AB49" s="6">
        <f t="shared" si="6"/>
        <v>93.160438129311302</v>
      </c>
      <c r="AC49" s="6">
        <f t="shared" si="7"/>
        <v>72.914863527360495</v>
      </c>
      <c r="AD49" s="6">
        <f>SUM($AC$3:AC49)</f>
        <v>708.68866212968658</v>
      </c>
      <c r="AE49" s="14">
        <v>47.360117200550008</v>
      </c>
      <c r="AF49" s="14">
        <v>44.7908953534508</v>
      </c>
      <c r="AG49" s="14">
        <v>0</v>
      </c>
      <c r="AH49" s="14">
        <v>20313.318908163801</v>
      </c>
      <c r="AI49" s="14">
        <f t="shared" si="8"/>
        <v>111.72325399490092</v>
      </c>
      <c r="AJ49" s="14">
        <f t="shared" si="9"/>
        <v>19.572241440900115</v>
      </c>
      <c r="AK49" s="14">
        <f>SUM($AJ$3:AJ49)</f>
        <v>202.65428245522304</v>
      </c>
      <c r="AL49" s="16">
        <v>48.928155052688908</v>
      </c>
      <c r="AM49" s="16">
        <v>26.665918407675001</v>
      </c>
      <c r="AN49" s="16">
        <v>0</v>
      </c>
      <c r="AO49" s="16">
        <v>18045.410104254399</v>
      </c>
      <c r="AP49" s="16">
        <f t="shared" si="10"/>
        <v>99.249755573399199</v>
      </c>
      <c r="AQ49" s="16">
        <f t="shared" si="11"/>
        <v>23.655682113035283</v>
      </c>
      <c r="AR49" s="16">
        <f>SUM($AQ$3:AQ49)</f>
        <v>237.28247907792664</v>
      </c>
      <c r="AS49" s="20">
        <v>49.57862898282599</v>
      </c>
      <c r="AT49" s="20">
        <v>22.219340768712001</v>
      </c>
      <c r="AU49" s="20">
        <v>0</v>
      </c>
      <c r="AV49" s="20">
        <v>17247.323322774198</v>
      </c>
      <c r="AW49" s="20">
        <f t="shared" si="12"/>
        <v>94.860278275258096</v>
      </c>
      <c r="AX49" s="20">
        <f t="shared" si="13"/>
        <v>23.062308523720105</v>
      </c>
      <c r="AY49" s="20">
        <f>SUM($AX$3:AX49)</f>
        <v>207.61545226392343</v>
      </c>
    </row>
    <row r="50" spans="2:51" x14ac:dyDescent="0.2">
      <c r="B50">
        <v>2072</v>
      </c>
      <c r="C50" s="1">
        <v>0</v>
      </c>
      <c r="D50" s="1">
        <v>37.252568967814199</v>
      </c>
      <c r="E50" s="1">
        <v>0</v>
      </c>
      <c r="F50" s="1">
        <v>20744.214544574901</v>
      </c>
      <c r="G50" s="1">
        <f t="shared" si="0"/>
        <v>114.09317999516196</v>
      </c>
      <c r="H50" s="1">
        <f t="shared" si="1"/>
        <v>76.840611027347762</v>
      </c>
      <c r="I50" s="1">
        <f>SUM($H$3:H50)</f>
        <v>889.55128573766831</v>
      </c>
      <c r="J50" s="3">
        <v>0</v>
      </c>
      <c r="K50" s="3">
        <v>29.1691374447479</v>
      </c>
      <c r="L50" s="3">
        <v>0</v>
      </c>
      <c r="M50" s="3">
        <v>16745.649202527798</v>
      </c>
      <c r="N50" s="3">
        <f t="shared" si="2"/>
        <v>92.101070613902891</v>
      </c>
      <c r="O50" s="3">
        <f t="shared" si="3"/>
        <v>62.931933169154988</v>
      </c>
      <c r="P50" s="3">
        <f>SUM($O$3:O50)</f>
        <v>541.54941666190746</v>
      </c>
      <c r="Q50" s="5">
        <v>0</v>
      </c>
      <c r="R50" s="5">
        <v>16.994808330625698</v>
      </c>
      <c r="S50" s="5">
        <v>0</v>
      </c>
      <c r="T50" s="5">
        <v>15624.9587764363</v>
      </c>
      <c r="U50" s="5">
        <f t="shared" si="4"/>
        <v>85.937273270399658</v>
      </c>
      <c r="V50" s="5">
        <f t="shared" si="5"/>
        <v>68.942464939773956</v>
      </c>
      <c r="W50" s="5">
        <f>SUM($V$3:V50)</f>
        <v>1915.1280187074444</v>
      </c>
      <c r="X50" s="6">
        <v>2.7191254613501314</v>
      </c>
      <c r="Y50" s="6">
        <v>16.994808330625698</v>
      </c>
      <c r="Z50" s="6">
        <v>0</v>
      </c>
      <c r="AA50" s="6">
        <v>17023.694713425401</v>
      </c>
      <c r="AB50" s="6">
        <f t="shared" si="6"/>
        <v>93.630320923839705</v>
      </c>
      <c r="AC50" s="6">
        <f t="shared" si="7"/>
        <v>73.916387131863871</v>
      </c>
      <c r="AD50" s="6">
        <f>SUM($AC$3:AC50)</f>
        <v>782.60504926155045</v>
      </c>
      <c r="AE50" s="14">
        <v>47.360117200550008</v>
      </c>
      <c r="AF50" s="14">
        <v>44.4819041632202</v>
      </c>
      <c r="AG50" s="14">
        <v>0</v>
      </c>
      <c r="AH50" s="14">
        <v>20897.487522162799</v>
      </c>
      <c r="AI50" s="14">
        <f t="shared" si="8"/>
        <v>114.9361813718954</v>
      </c>
      <c r="AJ50" s="14">
        <f t="shared" si="9"/>
        <v>23.094160008125186</v>
      </c>
      <c r="AK50" s="14">
        <f>SUM($AJ$3:AJ50)</f>
        <v>225.74844246334823</v>
      </c>
      <c r="AL50" s="16">
        <v>48.928155052687998</v>
      </c>
      <c r="AM50" s="16">
        <v>26.161296544846198</v>
      </c>
      <c r="AN50" s="16">
        <v>0</v>
      </c>
      <c r="AO50" s="16">
        <v>18559.981953886301</v>
      </c>
      <c r="AP50" s="16">
        <f t="shared" si="10"/>
        <v>102.07990074637466</v>
      </c>
      <c r="AQ50" s="16">
        <f t="shared" si="11"/>
        <v>26.990449148840469</v>
      </c>
      <c r="AR50" s="16">
        <f>SUM($AQ$3:AQ50)</f>
        <v>264.27292822676714</v>
      </c>
      <c r="AS50" s="20">
        <v>49.57862898282508</v>
      </c>
      <c r="AT50" s="20">
        <v>21.578290690550801</v>
      </c>
      <c r="AU50" s="20">
        <v>0</v>
      </c>
      <c r="AV50" s="20">
        <v>17742.804209149399</v>
      </c>
      <c r="AW50" s="20">
        <f t="shared" si="12"/>
        <v>97.585423150321702</v>
      </c>
      <c r="AX50" s="20">
        <f t="shared" si="13"/>
        <v>26.428503476945821</v>
      </c>
      <c r="AY50" s="20">
        <f>SUM($AX$3:AX50)</f>
        <v>234.04395574086925</v>
      </c>
    </row>
    <row r="51" spans="2:51" x14ac:dyDescent="0.2">
      <c r="B51">
        <v>2073</v>
      </c>
      <c r="C51" s="1">
        <v>0</v>
      </c>
      <c r="D51" s="1">
        <v>36.338077437606799</v>
      </c>
      <c r="E51" s="1">
        <v>0</v>
      </c>
      <c r="F51" s="1">
        <v>21075.556555920401</v>
      </c>
      <c r="G51" s="1">
        <f t="shared" si="0"/>
        <v>115.9155610575622</v>
      </c>
      <c r="H51" s="1">
        <f t="shared" si="1"/>
        <v>79.577483619955402</v>
      </c>
      <c r="I51" s="1">
        <f>SUM($H$3:H51)</f>
        <v>969.1287693576237</v>
      </c>
      <c r="J51" s="3">
        <v>0</v>
      </c>
      <c r="K51" s="3">
        <v>28.3928820770637</v>
      </c>
      <c r="L51" s="3">
        <v>0</v>
      </c>
      <c r="M51" s="3">
        <v>16975.3138757466</v>
      </c>
      <c r="N51" s="3">
        <f t="shared" si="2"/>
        <v>93.364226316606306</v>
      </c>
      <c r="O51" s="3">
        <f t="shared" si="3"/>
        <v>64.971344239542603</v>
      </c>
      <c r="P51" s="3">
        <f>SUM($O$3:O51)</f>
        <v>606.5207609014501</v>
      </c>
      <c r="Q51" s="5">
        <v>0</v>
      </c>
      <c r="R51" s="5">
        <v>16.4631675206405</v>
      </c>
      <c r="S51" s="5">
        <v>0</v>
      </c>
      <c r="T51" s="5">
        <v>15707.6728863438</v>
      </c>
      <c r="U51" s="5">
        <f t="shared" si="4"/>
        <v>86.392200874890904</v>
      </c>
      <c r="V51" s="5">
        <f t="shared" si="5"/>
        <v>69.929033354250407</v>
      </c>
      <c r="W51" s="5">
        <f>SUM($V$3:V51)</f>
        <v>1985.0570520616948</v>
      </c>
      <c r="X51" s="6">
        <v>2.7191254613398996</v>
      </c>
      <c r="Y51" s="6">
        <v>16.4631675206405</v>
      </c>
      <c r="Z51" s="6">
        <v>0</v>
      </c>
      <c r="AA51" s="6">
        <v>17109.127948794201</v>
      </c>
      <c r="AB51" s="6">
        <f t="shared" si="6"/>
        <v>94.100203718368107</v>
      </c>
      <c r="AC51" s="6">
        <f t="shared" si="7"/>
        <v>74.917910736387711</v>
      </c>
      <c r="AD51" s="6">
        <f>SUM($AC$3:AC51)</f>
        <v>857.52295999793819</v>
      </c>
      <c r="AE51" s="14">
        <v>47.360117200550008</v>
      </c>
      <c r="AF51" s="14">
        <v>44.1729129729896</v>
      </c>
      <c r="AG51" s="14">
        <v>0</v>
      </c>
      <c r="AH51" s="14">
        <v>21481.656136161801</v>
      </c>
      <c r="AI51" s="14">
        <f t="shared" si="8"/>
        <v>118.1491087488899</v>
      </c>
      <c r="AJ51" s="14">
        <f t="shared" si="9"/>
        <v>26.616078575350286</v>
      </c>
      <c r="AK51" s="14">
        <f>SUM($AJ$3:AJ51)</f>
        <v>252.36452103869851</v>
      </c>
      <c r="AL51" s="16">
        <v>48.928155052685042</v>
      </c>
      <c r="AM51" s="16">
        <v>25.6566746820174</v>
      </c>
      <c r="AN51" s="16">
        <v>0</v>
      </c>
      <c r="AO51" s="16">
        <v>19074.5538035182</v>
      </c>
      <c r="AP51" s="16">
        <f t="shared" si="10"/>
        <v>104.9100459193501</v>
      </c>
      <c r="AQ51" s="16">
        <f t="shared" si="11"/>
        <v>30.325216184647658</v>
      </c>
      <c r="AR51" s="16">
        <f>SUM($AQ$3:AQ51)</f>
        <v>294.59814441141481</v>
      </c>
      <c r="AS51" s="20">
        <v>49.578628982827922</v>
      </c>
      <c r="AT51" s="20">
        <v>20.937240612389498</v>
      </c>
      <c r="AU51" s="20">
        <v>0</v>
      </c>
      <c r="AV51" s="20">
        <v>18238.285095524701</v>
      </c>
      <c r="AW51" s="20">
        <f t="shared" si="12"/>
        <v>100.31056802538586</v>
      </c>
      <c r="AX51" s="20">
        <f t="shared" si="13"/>
        <v>29.794698430168438</v>
      </c>
      <c r="AY51" s="20">
        <f>SUM($AX$3:AX51)</f>
        <v>263.83865417103766</v>
      </c>
    </row>
    <row r="52" spans="2:51" x14ac:dyDescent="0.2">
      <c r="B52">
        <v>2074</v>
      </c>
      <c r="C52" s="1">
        <v>0</v>
      </c>
      <c r="D52" s="1">
        <v>35.423585907399399</v>
      </c>
      <c r="E52" s="1">
        <v>0</v>
      </c>
      <c r="F52" s="1">
        <v>21406.8985672659</v>
      </c>
      <c r="G52" s="1">
        <f t="shared" si="0"/>
        <v>117.73794211996244</v>
      </c>
      <c r="H52" s="1">
        <f t="shared" si="1"/>
        <v>82.314356212563041</v>
      </c>
      <c r="I52" s="1">
        <f>SUM($H$3:H52)</f>
        <v>1051.4431255701868</v>
      </c>
      <c r="J52" s="3">
        <v>0</v>
      </c>
      <c r="K52" s="3">
        <v>27.6166267093794</v>
      </c>
      <c r="L52" s="3">
        <v>0</v>
      </c>
      <c r="M52" s="3">
        <v>17204.978548965399</v>
      </c>
      <c r="N52" s="3">
        <f t="shared" si="2"/>
        <v>94.627382019309707</v>
      </c>
      <c r="O52" s="3">
        <f t="shared" si="3"/>
        <v>67.010755309930303</v>
      </c>
      <c r="P52" s="3">
        <f>SUM($O$3:O52)</f>
        <v>673.53151621138045</v>
      </c>
      <c r="Q52" s="5">
        <v>0</v>
      </c>
      <c r="R52" s="5">
        <v>15.9315267106553</v>
      </c>
      <c r="S52" s="5">
        <v>0</v>
      </c>
      <c r="T52" s="5">
        <v>15790.3869962513</v>
      </c>
      <c r="U52" s="5">
        <f t="shared" si="4"/>
        <v>86.84712847938215</v>
      </c>
      <c r="V52" s="5">
        <f t="shared" si="5"/>
        <v>70.915601768726845</v>
      </c>
      <c r="W52" s="5">
        <f>SUM($V$3:V52)</f>
        <v>2055.9726538304217</v>
      </c>
      <c r="X52" s="6">
        <v>2.719125461340127</v>
      </c>
      <c r="Y52" s="6">
        <v>15.9315267106553</v>
      </c>
      <c r="Z52" s="6">
        <v>0</v>
      </c>
      <c r="AA52" s="6">
        <v>17194.5611841631</v>
      </c>
      <c r="AB52" s="6">
        <f t="shared" si="6"/>
        <v>94.570086512897049</v>
      </c>
      <c r="AC52" s="6">
        <f t="shared" si="7"/>
        <v>75.919434340901617</v>
      </c>
      <c r="AD52" s="6">
        <f>SUM($AC$3:AC52)</f>
        <v>933.44239433883979</v>
      </c>
      <c r="AE52" s="14">
        <v>47.360117200547961</v>
      </c>
      <c r="AF52" s="14">
        <v>43.863921782759</v>
      </c>
      <c r="AG52" s="14">
        <v>0</v>
      </c>
      <c r="AH52" s="14">
        <v>22065.824750160798</v>
      </c>
      <c r="AI52" s="14">
        <f t="shared" si="8"/>
        <v>121.3620361258844</v>
      </c>
      <c r="AJ52" s="14">
        <f t="shared" si="9"/>
        <v>30.137997142577433</v>
      </c>
      <c r="AK52" s="14">
        <f>SUM($AJ$3:AJ52)</f>
        <v>282.50251818127595</v>
      </c>
      <c r="AL52" s="16">
        <v>48.928155052689931</v>
      </c>
      <c r="AM52" s="16">
        <v>25.152052819188501</v>
      </c>
      <c r="AN52" s="16">
        <v>0</v>
      </c>
      <c r="AO52" s="16">
        <v>19589.12565315</v>
      </c>
      <c r="AP52" s="16">
        <f t="shared" si="10"/>
        <v>107.74019109232501</v>
      </c>
      <c r="AQ52" s="16">
        <f t="shared" si="11"/>
        <v>33.659983220446577</v>
      </c>
      <c r="AR52" s="16">
        <f>SUM($AQ$3:AQ52)</f>
        <v>328.25812763186138</v>
      </c>
      <c r="AS52" s="20">
        <v>49.578628982819964</v>
      </c>
      <c r="AT52" s="20">
        <v>20.296190534228302</v>
      </c>
      <c r="AU52" s="20">
        <v>0</v>
      </c>
      <c r="AV52" s="20">
        <v>18733.7659819</v>
      </c>
      <c r="AW52" s="20">
        <f t="shared" si="12"/>
        <v>103.03571290044999</v>
      </c>
      <c r="AX52" s="20">
        <f t="shared" si="13"/>
        <v>33.160893383401728</v>
      </c>
      <c r="AY52" s="20">
        <f>SUM($AX$3:AX52)</f>
        <v>296.9995475544394</v>
      </c>
    </row>
    <row r="53" spans="2:51" x14ac:dyDescent="0.2">
      <c r="B53">
        <v>2075</v>
      </c>
      <c r="C53" s="1">
        <v>0</v>
      </c>
      <c r="D53" s="1">
        <v>34.5090943771919</v>
      </c>
      <c r="E53" s="1">
        <v>0</v>
      </c>
      <c r="F53" s="1">
        <v>21738.240578611301</v>
      </c>
      <c r="G53" s="1">
        <f t="shared" si="0"/>
        <v>119.56032318236217</v>
      </c>
      <c r="H53" s="1">
        <f t="shared" si="1"/>
        <v>85.051228805170268</v>
      </c>
      <c r="I53" s="1">
        <f>SUM($H$3:H53)</f>
        <v>1136.494354375357</v>
      </c>
      <c r="J53" s="3">
        <v>0</v>
      </c>
      <c r="K53" s="3">
        <v>26.840371341695199</v>
      </c>
      <c r="L53" s="3">
        <v>0</v>
      </c>
      <c r="M53" s="3">
        <v>17434.643222184201</v>
      </c>
      <c r="N53" s="3">
        <f t="shared" si="2"/>
        <v>95.890537722013107</v>
      </c>
      <c r="O53" s="3">
        <f t="shared" si="3"/>
        <v>69.050166380317904</v>
      </c>
      <c r="P53" s="3">
        <f>SUM($O$3:O53)</f>
        <v>742.58168259169838</v>
      </c>
      <c r="Q53" s="5">
        <v>0</v>
      </c>
      <c r="R53" s="5">
        <v>15.3998859006701</v>
      </c>
      <c r="S53" s="5">
        <v>0</v>
      </c>
      <c r="T53" s="5">
        <v>15873.1011061588</v>
      </c>
      <c r="U53" s="5">
        <f t="shared" si="4"/>
        <v>87.30205608387341</v>
      </c>
      <c r="V53" s="5">
        <f t="shared" si="5"/>
        <v>71.90217018320331</v>
      </c>
      <c r="W53" s="5">
        <f>SUM($V$3:V53)</f>
        <v>2127.8748240136251</v>
      </c>
      <c r="X53" s="6">
        <v>2.7191254613398996</v>
      </c>
      <c r="Y53" s="6">
        <v>15.3998859006701</v>
      </c>
      <c r="Z53" s="6">
        <v>0</v>
      </c>
      <c r="AA53" s="6">
        <v>17279.9944195319</v>
      </c>
      <c r="AB53" s="6">
        <f t="shared" si="6"/>
        <v>95.039969307425451</v>
      </c>
      <c r="AC53" s="6">
        <f t="shared" si="7"/>
        <v>76.920957945415452</v>
      </c>
      <c r="AD53" s="6">
        <f>SUM($AC$3:AC53)</f>
        <v>1010.3633522842553</v>
      </c>
      <c r="AE53" s="14">
        <v>47.360117200549894</v>
      </c>
      <c r="AF53" s="14">
        <v>43.554930592528301</v>
      </c>
      <c r="AG53" s="14">
        <v>0</v>
      </c>
      <c r="AH53" s="14">
        <v>22649.993364159898</v>
      </c>
      <c r="AI53" s="14">
        <f t="shared" si="8"/>
        <v>124.57496350287946</v>
      </c>
      <c r="AJ53" s="14">
        <f t="shared" si="9"/>
        <v>33.659915709801254</v>
      </c>
      <c r="AK53" s="14">
        <f>SUM($AJ$3:AJ53)</f>
        <v>316.16243389107717</v>
      </c>
      <c r="AL53" s="16">
        <v>48.928155052690045</v>
      </c>
      <c r="AM53" s="16">
        <v>24.647430956359699</v>
      </c>
      <c r="AN53" s="16">
        <v>0</v>
      </c>
      <c r="AO53" s="16">
        <v>20103.697502781899</v>
      </c>
      <c r="AP53" s="16">
        <f t="shared" si="10"/>
        <v>110.57033626530045</v>
      </c>
      <c r="AQ53" s="16">
        <f t="shared" si="11"/>
        <v>36.994750256250711</v>
      </c>
      <c r="AR53" s="16">
        <f>SUM($AQ$3:AQ53)</f>
        <v>365.2528778881121</v>
      </c>
      <c r="AS53" s="20">
        <v>49.578628982830196</v>
      </c>
      <c r="AT53" s="20">
        <v>19.655140456067102</v>
      </c>
      <c r="AU53" s="20">
        <v>0</v>
      </c>
      <c r="AV53" s="20">
        <v>19229.246868275299</v>
      </c>
      <c r="AW53" s="20">
        <f t="shared" si="12"/>
        <v>105.76085777551414</v>
      </c>
      <c r="AX53" s="20">
        <f t="shared" si="13"/>
        <v>36.527088336616842</v>
      </c>
      <c r="AY53" s="20">
        <f>SUM($AX$3:AX53)</f>
        <v>333.52663589105623</v>
      </c>
    </row>
    <row r="54" spans="2:51" x14ac:dyDescent="0.2">
      <c r="B54">
        <v>2076</v>
      </c>
      <c r="C54" s="1">
        <v>0</v>
      </c>
      <c r="D54" s="1">
        <v>33.655888292066201</v>
      </c>
      <c r="E54" s="1">
        <v>0</v>
      </c>
      <c r="F54" s="1">
        <v>22053.999202485102</v>
      </c>
      <c r="G54" s="1">
        <f t="shared" si="0"/>
        <v>121.29699561366806</v>
      </c>
      <c r="H54" s="1">
        <f t="shared" si="1"/>
        <v>87.641107321601851</v>
      </c>
      <c r="I54" s="1">
        <f>SUM($H$3:H54)</f>
        <v>1224.1354616969588</v>
      </c>
      <c r="J54" s="3">
        <v>0</v>
      </c>
      <c r="K54" s="3">
        <v>25.834590371116398</v>
      </c>
      <c r="L54" s="3">
        <v>0</v>
      </c>
      <c r="M54" s="3">
        <v>17657.382145693799</v>
      </c>
      <c r="N54" s="3">
        <f t="shared" si="2"/>
        <v>97.115601801315904</v>
      </c>
      <c r="O54" s="3">
        <f t="shared" si="3"/>
        <v>71.281011430199499</v>
      </c>
      <c r="P54" s="3">
        <f>SUM($O$3:O54)</f>
        <v>813.86269402189782</v>
      </c>
      <c r="Q54" s="5">
        <v>0</v>
      </c>
      <c r="R54" s="5">
        <v>15.0125951978217</v>
      </c>
      <c r="S54" s="5">
        <v>0</v>
      </c>
      <c r="T54" s="5">
        <v>15944.2399844189</v>
      </c>
      <c r="U54" s="5">
        <f t="shared" si="4"/>
        <v>87.693319914303956</v>
      </c>
      <c r="V54" s="5">
        <f t="shared" si="5"/>
        <v>72.68072471648226</v>
      </c>
      <c r="W54" s="5">
        <f>SUM($V$3:V54)</f>
        <v>2200.5555487301076</v>
      </c>
      <c r="X54" s="6">
        <v>4.0359063377700295</v>
      </c>
      <c r="Y54" s="6">
        <v>15.0125951978217</v>
      </c>
      <c r="Z54" s="6">
        <v>0</v>
      </c>
      <c r="AA54" s="6">
        <v>17355.169204129801</v>
      </c>
      <c r="AB54" s="6">
        <f t="shared" si="6"/>
        <v>95.45343062271391</v>
      </c>
      <c r="AC54" s="6">
        <f t="shared" si="7"/>
        <v>76.404929087122184</v>
      </c>
      <c r="AD54" s="6">
        <f>SUM($AC$3:AC54)</f>
        <v>1086.7682813713775</v>
      </c>
      <c r="AE54" s="14">
        <v>60.890567135299989</v>
      </c>
      <c r="AF54" s="14">
        <v>43.720511580055302</v>
      </c>
      <c r="AG54" s="14">
        <v>0</v>
      </c>
      <c r="AH54" s="14">
        <v>23347.708910290999</v>
      </c>
      <c r="AI54" s="14">
        <f t="shared" si="8"/>
        <v>128.41239900660051</v>
      </c>
      <c r="AJ54" s="14">
        <f t="shared" si="9"/>
        <v>23.801320291245219</v>
      </c>
      <c r="AK54" s="14">
        <f>SUM($AJ$3:AJ54)</f>
        <v>339.96375418232242</v>
      </c>
      <c r="AL54" s="16">
        <v>62.936928957439932</v>
      </c>
      <c r="AM54" s="16">
        <v>24.088552744448901</v>
      </c>
      <c r="AN54" s="16">
        <v>0</v>
      </c>
      <c r="AO54" s="16">
        <v>20720.685510360399</v>
      </c>
      <c r="AP54" s="16">
        <f t="shared" si="10"/>
        <v>113.96377030698221</v>
      </c>
      <c r="AQ54" s="16">
        <f t="shared" si="11"/>
        <v>26.938288605093376</v>
      </c>
      <c r="AR54" s="16">
        <f>SUM($AQ$3:AQ54)</f>
        <v>392.19116649320546</v>
      </c>
      <c r="AS54" s="20">
        <v>63.762804960389985</v>
      </c>
      <c r="AT54" s="20">
        <v>19.303069362694501</v>
      </c>
      <c r="AU54" s="20">
        <v>0</v>
      </c>
      <c r="AV54" s="20">
        <v>19824.262587338901</v>
      </c>
      <c r="AW54" s="20">
        <f t="shared" si="12"/>
        <v>109.03344423036395</v>
      </c>
      <c r="AX54" s="20">
        <f t="shared" si="13"/>
        <v>25.967569907279469</v>
      </c>
      <c r="AY54" s="20">
        <f>SUM($AX$3:AX54)</f>
        <v>359.49420579833571</v>
      </c>
    </row>
    <row r="55" spans="2:51" x14ac:dyDescent="0.2">
      <c r="B55">
        <v>2077</v>
      </c>
      <c r="C55" s="1">
        <v>0</v>
      </c>
      <c r="D55" s="1">
        <v>32.802682206940503</v>
      </c>
      <c r="E55" s="1">
        <v>0</v>
      </c>
      <c r="F55" s="1">
        <v>22369.757826358898</v>
      </c>
      <c r="G55" s="1">
        <f t="shared" si="0"/>
        <v>123.03366804497394</v>
      </c>
      <c r="H55" s="1">
        <f t="shared" si="1"/>
        <v>90.230985838033433</v>
      </c>
      <c r="I55" s="1">
        <f>SUM($H$3:H55)</f>
        <v>1314.3664475349922</v>
      </c>
      <c r="J55" s="3">
        <v>0</v>
      </c>
      <c r="K55" s="3">
        <v>24.828809400537502</v>
      </c>
      <c r="L55" s="3">
        <v>0</v>
      </c>
      <c r="M55" s="3">
        <v>17880.121069203298</v>
      </c>
      <c r="N55" s="3">
        <f t="shared" si="2"/>
        <v>98.340665880618147</v>
      </c>
      <c r="O55" s="3">
        <f t="shared" si="3"/>
        <v>73.511856480080638</v>
      </c>
      <c r="P55" s="3">
        <f>SUM($O$3:O55)</f>
        <v>887.37455050197843</v>
      </c>
      <c r="Q55" s="5">
        <v>0</v>
      </c>
      <c r="R55" s="5">
        <v>14.6253044949733</v>
      </c>
      <c r="S55" s="5">
        <v>0</v>
      </c>
      <c r="T55" s="5">
        <v>16015.378862678999</v>
      </c>
      <c r="U55" s="5">
        <f t="shared" si="4"/>
        <v>88.084583744734502</v>
      </c>
      <c r="V55" s="5">
        <f t="shared" si="5"/>
        <v>73.459279249761209</v>
      </c>
      <c r="W55" s="5">
        <f>SUM($V$3:V55)</f>
        <v>2274.0148279798686</v>
      </c>
      <c r="X55" s="6">
        <v>4.0359063377600251</v>
      </c>
      <c r="Y55" s="6">
        <v>14.6253044949733</v>
      </c>
      <c r="Z55" s="6">
        <v>0</v>
      </c>
      <c r="AA55" s="6">
        <v>17430.343988727702</v>
      </c>
      <c r="AB55" s="6">
        <f t="shared" si="6"/>
        <v>95.866891938002368</v>
      </c>
      <c r="AC55" s="6">
        <f t="shared" si="7"/>
        <v>77.205681105269036</v>
      </c>
      <c r="AD55" s="6">
        <f>SUM($AC$3:AC55)</f>
        <v>1163.9739624766466</v>
      </c>
      <c r="AE55" s="14">
        <v>60.890567135290212</v>
      </c>
      <c r="AF55" s="14">
        <v>43.886092567582303</v>
      </c>
      <c r="AG55" s="14">
        <v>0</v>
      </c>
      <c r="AH55" s="14">
        <v>24045.424456422101</v>
      </c>
      <c r="AI55" s="14">
        <f t="shared" si="8"/>
        <v>132.24983451032156</v>
      </c>
      <c r="AJ55" s="14">
        <f t="shared" si="9"/>
        <v>27.473174807449055</v>
      </c>
      <c r="AK55" s="14">
        <f>SUM($AJ$3:AJ55)</f>
        <v>367.43692898977145</v>
      </c>
      <c r="AL55" s="16">
        <v>62.936928957430155</v>
      </c>
      <c r="AM55" s="16">
        <v>23.529674532538099</v>
      </c>
      <c r="AN55" s="16">
        <v>0</v>
      </c>
      <c r="AO55" s="16">
        <v>21337.6735179389</v>
      </c>
      <c r="AP55" s="16">
        <f t="shared" si="10"/>
        <v>117.35720434866397</v>
      </c>
      <c r="AQ55" s="16">
        <f t="shared" si="11"/>
        <v>30.89060085869572</v>
      </c>
      <c r="AR55" s="16">
        <f>SUM($AQ$3:AQ55)</f>
        <v>423.08176735190119</v>
      </c>
      <c r="AS55" s="20">
        <v>63.762804960389985</v>
      </c>
      <c r="AT55" s="20">
        <v>18.950998269322</v>
      </c>
      <c r="AU55" s="20">
        <v>0</v>
      </c>
      <c r="AV55" s="20">
        <v>20419.278306402401</v>
      </c>
      <c r="AW55" s="20">
        <f t="shared" si="12"/>
        <v>112.30603068521322</v>
      </c>
      <c r="AX55" s="20">
        <f t="shared" si="13"/>
        <v>29.592227455501231</v>
      </c>
      <c r="AY55" s="20">
        <f>SUM($AX$3:AX55)</f>
        <v>389.08643325383696</v>
      </c>
    </row>
    <row r="56" spans="2:51" x14ac:dyDescent="0.2">
      <c r="B56">
        <v>2078</v>
      </c>
      <c r="C56" s="1">
        <v>0</v>
      </c>
      <c r="D56" s="1">
        <v>31.949476121814701</v>
      </c>
      <c r="E56" s="1">
        <v>0</v>
      </c>
      <c r="F56" s="1">
        <v>22685.516450232699</v>
      </c>
      <c r="G56" s="1">
        <f t="shared" si="0"/>
        <v>124.77034047627986</v>
      </c>
      <c r="H56" s="1">
        <f t="shared" si="1"/>
        <v>92.820864354465158</v>
      </c>
      <c r="I56" s="1">
        <f>SUM($H$3:H56)</f>
        <v>1407.1873118894573</v>
      </c>
      <c r="J56" s="3">
        <v>0</v>
      </c>
      <c r="K56" s="3">
        <v>23.823028429958701</v>
      </c>
      <c r="L56" s="3">
        <v>0</v>
      </c>
      <c r="M56" s="3">
        <v>18102.8599927129</v>
      </c>
      <c r="N56" s="3">
        <f t="shared" si="2"/>
        <v>99.565729959920958</v>
      </c>
      <c r="O56" s="3">
        <f t="shared" si="3"/>
        <v>75.742701529962261</v>
      </c>
      <c r="P56" s="3">
        <f>SUM($O$3:O56)</f>
        <v>963.11725203194067</v>
      </c>
      <c r="Q56" s="5">
        <v>0</v>
      </c>
      <c r="R56" s="5">
        <v>14.238013792124899</v>
      </c>
      <c r="S56" s="5">
        <v>0</v>
      </c>
      <c r="T56" s="5">
        <v>16086.5177409391</v>
      </c>
      <c r="U56" s="5">
        <f t="shared" si="4"/>
        <v>88.475847575165062</v>
      </c>
      <c r="V56" s="5">
        <f t="shared" si="5"/>
        <v>74.237833783040159</v>
      </c>
      <c r="W56" s="5">
        <f>SUM($V$3:V56)</f>
        <v>2348.2526617629087</v>
      </c>
      <c r="X56" s="6">
        <v>4.0359063377700295</v>
      </c>
      <c r="Y56" s="6">
        <v>14.238013792124899</v>
      </c>
      <c r="Z56" s="6">
        <v>0</v>
      </c>
      <c r="AA56" s="6">
        <v>17505.518773325501</v>
      </c>
      <c r="AB56" s="6">
        <f t="shared" si="6"/>
        <v>96.280353253290258</v>
      </c>
      <c r="AC56" s="6">
        <f t="shared" si="7"/>
        <v>78.006433123395325</v>
      </c>
      <c r="AD56" s="6">
        <f>SUM($AC$3:AC56)</f>
        <v>1241.9803956000419</v>
      </c>
      <c r="AE56" s="14">
        <v>60.890567135299989</v>
      </c>
      <c r="AF56" s="14">
        <v>44.051673555109303</v>
      </c>
      <c r="AG56" s="14">
        <v>0</v>
      </c>
      <c r="AH56" s="14">
        <v>24743.140002553198</v>
      </c>
      <c r="AI56" s="14">
        <f t="shared" si="8"/>
        <v>136.08727001404259</v>
      </c>
      <c r="AJ56" s="14">
        <f t="shared" si="9"/>
        <v>31.145029323633295</v>
      </c>
      <c r="AK56" s="14">
        <f>SUM($AJ$3:AJ56)</f>
        <v>398.58195831340475</v>
      </c>
      <c r="AL56" s="16">
        <v>62.936928957439932</v>
      </c>
      <c r="AM56" s="16">
        <v>22.9707963206274</v>
      </c>
      <c r="AN56" s="16">
        <v>0</v>
      </c>
      <c r="AO56" s="16">
        <v>21954.6615255174</v>
      </c>
      <c r="AP56" s="16">
        <f t="shared" si="10"/>
        <v>120.7506383903457</v>
      </c>
      <c r="AQ56" s="16">
        <f t="shared" si="11"/>
        <v>34.842913112278367</v>
      </c>
      <c r="AR56" s="16">
        <f>SUM($AQ$3:AQ56)</f>
        <v>457.92468046417957</v>
      </c>
      <c r="AS56" s="20">
        <v>63.76280496039999</v>
      </c>
      <c r="AT56" s="20">
        <v>18.598927175949498</v>
      </c>
      <c r="AU56" s="20">
        <v>0</v>
      </c>
      <c r="AV56" s="20">
        <v>21014.294025465999</v>
      </c>
      <c r="AW56" s="20">
        <f t="shared" si="12"/>
        <v>115.57861714006299</v>
      </c>
      <c r="AX56" s="20">
        <f t="shared" si="13"/>
        <v>33.2168850037135</v>
      </c>
      <c r="AY56" s="20">
        <f>SUM($AX$3:AX56)</f>
        <v>422.30331825755047</v>
      </c>
    </row>
    <row r="57" spans="2:51" x14ac:dyDescent="0.2">
      <c r="B57">
        <v>2079</v>
      </c>
      <c r="C57" s="1">
        <v>0</v>
      </c>
      <c r="D57" s="1">
        <v>31.096270036688999</v>
      </c>
      <c r="E57" s="1">
        <v>0</v>
      </c>
      <c r="F57" s="1">
        <v>23001.275074106499</v>
      </c>
      <c r="G57" s="1">
        <f t="shared" si="0"/>
        <v>126.50701290758576</v>
      </c>
      <c r="H57" s="1">
        <f t="shared" si="1"/>
        <v>95.410742870896769</v>
      </c>
      <c r="I57" s="1">
        <f>SUM($H$3:H57)</f>
        <v>1502.598054760354</v>
      </c>
      <c r="J57" s="3">
        <v>0</v>
      </c>
      <c r="K57" s="3">
        <v>22.8172474593799</v>
      </c>
      <c r="L57" s="3">
        <v>0</v>
      </c>
      <c r="M57" s="3">
        <v>18325.598916222501</v>
      </c>
      <c r="N57" s="3">
        <f t="shared" si="2"/>
        <v>100.79079403922377</v>
      </c>
      <c r="O57" s="3">
        <f t="shared" si="3"/>
        <v>77.97354657984387</v>
      </c>
      <c r="P57" s="3">
        <f>SUM($O$3:O57)</f>
        <v>1041.0907986117845</v>
      </c>
      <c r="Q57" s="5">
        <v>0</v>
      </c>
      <c r="R57" s="5">
        <v>13.850723089276499</v>
      </c>
      <c r="S57" s="5">
        <v>0</v>
      </c>
      <c r="T57" s="5">
        <v>16157.656619199201</v>
      </c>
      <c r="U57" s="5">
        <f t="shared" si="4"/>
        <v>88.867111405595608</v>
      </c>
      <c r="V57" s="5">
        <f t="shared" si="5"/>
        <v>75.016388316319109</v>
      </c>
      <c r="W57" s="5">
        <f>SUM($V$3:V57)</f>
        <v>2423.2690500792278</v>
      </c>
      <c r="X57" s="6">
        <v>4.0359063377698021</v>
      </c>
      <c r="Y57" s="6">
        <v>13.850723089276499</v>
      </c>
      <c r="Z57" s="6">
        <v>0</v>
      </c>
      <c r="AA57" s="6">
        <v>17580.693557923401</v>
      </c>
      <c r="AB57" s="6">
        <f t="shared" si="6"/>
        <v>96.693814568578716</v>
      </c>
      <c r="AC57" s="6">
        <f t="shared" si="7"/>
        <v>78.807185141532415</v>
      </c>
      <c r="AD57" s="6">
        <f>SUM($AC$3:AC57)</f>
        <v>1320.7875807415744</v>
      </c>
      <c r="AE57" s="14">
        <v>60.890567135289984</v>
      </c>
      <c r="AF57" s="14">
        <v>44.217254542636297</v>
      </c>
      <c r="AG57" s="14">
        <v>0</v>
      </c>
      <c r="AH57" s="14">
        <v>25440.8555486843</v>
      </c>
      <c r="AI57" s="14">
        <f t="shared" si="8"/>
        <v>139.92470551776364</v>
      </c>
      <c r="AJ57" s="14">
        <f t="shared" si="9"/>
        <v>34.816883839837359</v>
      </c>
      <c r="AK57" s="14">
        <f>SUM($AJ$3:AJ57)</f>
        <v>433.39884215324213</v>
      </c>
      <c r="AL57" s="16">
        <v>62.936928957429927</v>
      </c>
      <c r="AM57" s="16">
        <v>22.411918108716598</v>
      </c>
      <c r="AN57" s="16">
        <v>0</v>
      </c>
      <c r="AO57" s="16">
        <v>22571.649533095901</v>
      </c>
      <c r="AP57" s="16">
        <f t="shared" si="10"/>
        <v>124.14407243202746</v>
      </c>
      <c r="AQ57" s="16">
        <f t="shared" si="11"/>
        <v>38.795225365880924</v>
      </c>
      <c r="AR57" s="16">
        <f>SUM($AQ$3:AQ57)</f>
        <v>496.7199058300605</v>
      </c>
      <c r="AS57" s="20">
        <v>63.762804960389985</v>
      </c>
      <c r="AT57" s="20">
        <v>18.246856082576901</v>
      </c>
      <c r="AU57" s="20">
        <v>0</v>
      </c>
      <c r="AV57" s="20">
        <v>21609.309744529601</v>
      </c>
      <c r="AW57" s="20">
        <f t="shared" si="12"/>
        <v>118.8512035949128</v>
      </c>
      <c r="AX57" s="20">
        <f t="shared" si="13"/>
        <v>36.841542551945921</v>
      </c>
      <c r="AY57" s="20">
        <f>SUM($AX$3:AX57)</f>
        <v>459.14486080949638</v>
      </c>
    </row>
    <row r="58" spans="2:51" x14ac:dyDescent="0.2">
      <c r="B58">
        <v>2080</v>
      </c>
      <c r="C58" s="1">
        <v>0</v>
      </c>
      <c r="D58" s="1">
        <v>30.243063951563201</v>
      </c>
      <c r="E58" s="1">
        <v>0</v>
      </c>
      <c r="F58" s="1">
        <v>23317.0336979803</v>
      </c>
      <c r="G58" s="1">
        <f t="shared" si="0"/>
        <v>128.24368533889165</v>
      </c>
      <c r="H58" s="1">
        <f t="shared" si="1"/>
        <v>98.000621387328451</v>
      </c>
      <c r="I58" s="1">
        <f>SUM($H$3:H58)</f>
        <v>1600.5986761476825</v>
      </c>
      <c r="J58" s="3">
        <v>0</v>
      </c>
      <c r="K58" s="3">
        <v>21.811466488800999</v>
      </c>
      <c r="L58" s="3">
        <v>0</v>
      </c>
      <c r="M58" s="3">
        <v>18548.337839732001</v>
      </c>
      <c r="N58" s="3">
        <f t="shared" si="2"/>
        <v>102.01585811852601</v>
      </c>
      <c r="O58" s="3">
        <f t="shared" si="3"/>
        <v>80.204391629725009</v>
      </c>
      <c r="P58" s="3">
        <f>SUM($O$3:O58)</f>
        <v>1121.2951902415095</v>
      </c>
      <c r="Q58" s="5">
        <v>0</v>
      </c>
      <c r="R58" s="5">
        <v>13.463432386428099</v>
      </c>
      <c r="S58" s="5">
        <v>0</v>
      </c>
      <c r="T58" s="5">
        <v>16228.795497459399</v>
      </c>
      <c r="U58" s="5">
        <f t="shared" si="4"/>
        <v>89.258375236026708</v>
      </c>
      <c r="V58" s="5">
        <f t="shared" si="5"/>
        <v>75.794942849598613</v>
      </c>
      <c r="W58" s="5">
        <f>SUM($V$3:V58)</f>
        <v>2499.0639929288263</v>
      </c>
      <c r="X58" s="6">
        <v>4.0359063377700295</v>
      </c>
      <c r="Y58" s="6">
        <v>13.463432386428099</v>
      </c>
      <c r="Z58" s="6">
        <v>0</v>
      </c>
      <c r="AA58" s="6">
        <v>17655.868342521298</v>
      </c>
      <c r="AB58" s="6">
        <f t="shared" si="6"/>
        <v>97.107275883867146</v>
      </c>
      <c r="AC58" s="6">
        <f t="shared" si="7"/>
        <v>79.607937159669021</v>
      </c>
      <c r="AD58" s="6">
        <f>SUM($AC$3:AC58)</f>
        <v>1400.3955179012435</v>
      </c>
      <c r="AE58" s="14">
        <v>60.890567135299989</v>
      </c>
      <c r="AF58" s="14">
        <v>44.382835530163298</v>
      </c>
      <c r="AG58" s="14">
        <v>0</v>
      </c>
      <c r="AH58" s="14">
        <v>26138.571094815401</v>
      </c>
      <c r="AI58" s="14">
        <f t="shared" si="8"/>
        <v>143.76214102148472</v>
      </c>
      <c r="AJ58" s="14">
        <f t="shared" si="9"/>
        <v>38.488738356021429</v>
      </c>
      <c r="AK58" s="14">
        <f>SUM($AJ$3:AJ58)</f>
        <v>471.88758050926356</v>
      </c>
      <c r="AL58" s="16">
        <v>62.936928957440159</v>
      </c>
      <c r="AM58" s="16">
        <v>21.8530398968058</v>
      </c>
      <c r="AN58" s="16">
        <v>0</v>
      </c>
      <c r="AO58" s="16">
        <v>23188.637540674401</v>
      </c>
      <c r="AP58" s="16">
        <f t="shared" si="10"/>
        <v>127.53750647370921</v>
      </c>
      <c r="AQ58" s="16">
        <f t="shared" si="11"/>
        <v>42.747537619463259</v>
      </c>
      <c r="AR58" s="16">
        <f>SUM($AQ$3:AQ58)</f>
        <v>539.46744344952378</v>
      </c>
      <c r="AS58" s="20">
        <v>63.762804960389985</v>
      </c>
      <c r="AT58" s="20">
        <v>17.8947849892044</v>
      </c>
      <c r="AU58" s="20">
        <v>0</v>
      </c>
      <c r="AV58" s="20">
        <v>22204.325463593199</v>
      </c>
      <c r="AW58" s="20">
        <f t="shared" si="12"/>
        <v>122.1237900497626</v>
      </c>
      <c r="AX58" s="20">
        <f t="shared" si="13"/>
        <v>40.466200100168223</v>
      </c>
      <c r="AY58" s="20">
        <f>SUM($AX$3:AX58)</f>
        <v>499.61106090966462</v>
      </c>
    </row>
    <row r="59" spans="2:51" x14ac:dyDescent="0.2">
      <c r="B59">
        <v>2081</v>
      </c>
      <c r="C59" s="1">
        <v>0</v>
      </c>
      <c r="D59" s="1">
        <v>29.348946447649599</v>
      </c>
      <c r="E59" s="1">
        <v>0</v>
      </c>
      <c r="F59" s="1">
        <v>23608.907086146199</v>
      </c>
      <c r="G59" s="1">
        <f t="shared" si="0"/>
        <v>129.8489889738041</v>
      </c>
      <c r="H59" s="1">
        <f t="shared" si="1"/>
        <v>100.5000425261545</v>
      </c>
      <c r="I59" s="1">
        <f>SUM($H$3:H59)</f>
        <v>1701.0987186738369</v>
      </c>
      <c r="J59" s="3">
        <v>0</v>
      </c>
      <c r="K59" s="3">
        <v>21.316159980944601</v>
      </c>
      <c r="L59" s="3">
        <v>0</v>
      </c>
      <c r="M59" s="3">
        <v>18758.332890728601</v>
      </c>
      <c r="N59" s="3">
        <f t="shared" si="2"/>
        <v>103.17083089900733</v>
      </c>
      <c r="O59" s="3">
        <f t="shared" si="3"/>
        <v>81.854670918062723</v>
      </c>
      <c r="P59" s="3">
        <f>SUM($O$3:O59)</f>
        <v>1203.1498611595723</v>
      </c>
      <c r="Q59" s="5">
        <v>0</v>
      </c>
      <c r="R59" s="5">
        <v>12.9671859003478</v>
      </c>
      <c r="S59" s="5">
        <v>0</v>
      </c>
      <c r="T59" s="5">
        <v>16287.577023829699</v>
      </c>
      <c r="U59" s="5">
        <f t="shared" si="4"/>
        <v>89.581673631063353</v>
      </c>
      <c r="V59" s="5">
        <f t="shared" si="5"/>
        <v>76.614487730715553</v>
      </c>
      <c r="W59" s="5">
        <f>SUM($V$3:V59)</f>
        <v>2575.6784806595419</v>
      </c>
      <c r="X59" s="6">
        <v>5.9647915396401459</v>
      </c>
      <c r="Y59" s="6">
        <v>12.9671859003478</v>
      </c>
      <c r="Z59" s="6">
        <v>0</v>
      </c>
      <c r="AA59" s="6">
        <v>17720.6146604313</v>
      </c>
      <c r="AB59" s="6">
        <f t="shared" si="6"/>
        <v>97.46338063237215</v>
      </c>
      <c r="AC59" s="6">
        <f t="shared" si="7"/>
        <v>78.531403192384204</v>
      </c>
      <c r="AD59" s="6">
        <f>SUM($AC$3:AC59)</f>
        <v>1478.9269210936277</v>
      </c>
      <c r="AE59" s="14">
        <v>78.562866454229834</v>
      </c>
      <c r="AF59" s="14">
        <v>44.503453728919602</v>
      </c>
      <c r="AG59" s="14">
        <v>0</v>
      </c>
      <c r="AH59" s="14">
        <v>26974.2057900607</v>
      </c>
      <c r="AI59" s="14">
        <f t="shared" si="8"/>
        <v>148.35813184533387</v>
      </c>
      <c r="AJ59" s="14">
        <f t="shared" si="9"/>
        <v>25.291811662184443</v>
      </c>
      <c r="AK59" s="14">
        <f>SUM($AJ$3:AJ59)</f>
        <v>497.179392171448</v>
      </c>
      <c r="AL59" s="16">
        <v>80.798204953850018</v>
      </c>
      <c r="AM59" s="16">
        <v>21.629746493870101</v>
      </c>
      <c r="AN59" s="16">
        <v>0</v>
      </c>
      <c r="AO59" s="16">
        <v>23932.175357063999</v>
      </c>
      <c r="AP59" s="16">
        <f t="shared" si="10"/>
        <v>131.626964463852</v>
      </c>
      <c r="AQ59" s="16">
        <f t="shared" si="11"/>
        <v>29.199013016131886</v>
      </c>
      <c r="AR59" s="16">
        <f>SUM($AQ$3:AQ59)</f>
        <v>568.66645646565564</v>
      </c>
      <c r="AS59" s="20">
        <v>81.981216669390051</v>
      </c>
      <c r="AT59" s="20">
        <v>17.5876752892189</v>
      </c>
      <c r="AU59" s="20">
        <v>0</v>
      </c>
      <c r="AV59" s="20">
        <v>22921.8650579729</v>
      </c>
      <c r="AW59" s="20">
        <f t="shared" si="12"/>
        <v>126.07025781885096</v>
      </c>
      <c r="AX59" s="20">
        <f t="shared" si="13"/>
        <v>26.501365860242004</v>
      </c>
      <c r="AY59" s="20">
        <f>SUM($AX$3:AX59)</f>
        <v>526.11242676990662</v>
      </c>
    </row>
    <row r="60" spans="2:51" x14ac:dyDescent="0.2">
      <c r="B60">
        <v>2082</v>
      </c>
      <c r="C60" s="1">
        <v>0</v>
      </c>
      <c r="D60" s="1">
        <v>28.454828943736</v>
      </c>
      <c r="E60" s="1">
        <v>0</v>
      </c>
      <c r="F60" s="1">
        <v>23900.780474312101</v>
      </c>
      <c r="G60" s="1">
        <f t="shared" si="0"/>
        <v>131.45429260871657</v>
      </c>
      <c r="H60" s="1">
        <f t="shared" si="1"/>
        <v>102.99946366498057</v>
      </c>
      <c r="I60" s="1">
        <f>SUM($H$3:H60)</f>
        <v>1804.0981823388174</v>
      </c>
      <c r="J60" s="3">
        <v>0</v>
      </c>
      <c r="K60" s="3">
        <v>20.820853473088199</v>
      </c>
      <c r="L60" s="3">
        <v>0</v>
      </c>
      <c r="M60" s="3">
        <v>18968.327941725202</v>
      </c>
      <c r="N60" s="3">
        <f t="shared" si="2"/>
        <v>104.32580367948862</v>
      </c>
      <c r="O60" s="3">
        <f t="shared" si="3"/>
        <v>83.504950206400423</v>
      </c>
      <c r="P60" s="3">
        <f>SUM($O$3:O60)</f>
        <v>1286.6548113659728</v>
      </c>
      <c r="Q60" s="5">
        <v>0</v>
      </c>
      <c r="R60" s="5">
        <v>12.4709394142675</v>
      </c>
      <c r="S60" s="5">
        <v>0</v>
      </c>
      <c r="T60" s="5">
        <v>16346.358550200101</v>
      </c>
      <c r="U60" s="5">
        <f t="shared" si="4"/>
        <v>89.904972026100552</v>
      </c>
      <c r="V60" s="5">
        <f t="shared" si="5"/>
        <v>77.434032611833047</v>
      </c>
      <c r="W60" s="5">
        <f>SUM($V$3:V60)</f>
        <v>2653.1125132713751</v>
      </c>
      <c r="X60" s="6">
        <v>5.9647915396499229</v>
      </c>
      <c r="Y60" s="6">
        <v>12.4709394142675</v>
      </c>
      <c r="Z60" s="6">
        <v>0</v>
      </c>
      <c r="AA60" s="6">
        <v>17785.360978341399</v>
      </c>
      <c r="AB60" s="6">
        <f t="shared" si="6"/>
        <v>97.819485380877708</v>
      </c>
      <c r="AC60" s="6">
        <f t="shared" si="7"/>
        <v>79.38375442696028</v>
      </c>
      <c r="AD60" s="6">
        <f>SUM($AC$3:AC60)</f>
        <v>1558.3106755205879</v>
      </c>
      <c r="AE60" s="14">
        <v>78.562866454230061</v>
      </c>
      <c r="AF60" s="14">
        <v>44.6240719276758</v>
      </c>
      <c r="AG60" s="14">
        <v>0</v>
      </c>
      <c r="AH60" s="14">
        <v>27809.8404853059</v>
      </c>
      <c r="AI60" s="14">
        <f t="shared" si="8"/>
        <v>152.95412266918245</v>
      </c>
      <c r="AJ60" s="14">
        <f t="shared" si="9"/>
        <v>29.767184287276592</v>
      </c>
      <c r="AK60" s="14">
        <f>SUM($AJ$3:AJ60)</f>
        <v>526.94657645872462</v>
      </c>
      <c r="AL60" s="16">
        <v>80.798204953850018</v>
      </c>
      <c r="AM60" s="16">
        <v>21.406453090934299</v>
      </c>
      <c r="AN60" s="16">
        <v>0</v>
      </c>
      <c r="AO60" s="16">
        <v>24675.7131734535</v>
      </c>
      <c r="AP60" s="16">
        <f t="shared" si="10"/>
        <v>135.71642245399426</v>
      </c>
      <c r="AQ60" s="16">
        <f t="shared" si="11"/>
        <v>33.511764409209945</v>
      </c>
      <c r="AR60" s="16">
        <f>SUM($AQ$3:AQ60)</f>
        <v>602.17822087486559</v>
      </c>
      <c r="AS60" s="20">
        <v>81.981216669389823</v>
      </c>
      <c r="AT60" s="20">
        <v>17.2805655892335</v>
      </c>
      <c r="AU60" s="20">
        <v>0</v>
      </c>
      <c r="AV60" s="20">
        <v>23639.404652352499</v>
      </c>
      <c r="AW60" s="20">
        <f t="shared" si="12"/>
        <v>130.01672558793877</v>
      </c>
      <c r="AX60" s="20">
        <f t="shared" si="13"/>
        <v>30.754943329315438</v>
      </c>
      <c r="AY60" s="20">
        <f>SUM($AX$3:AX60)</f>
        <v>556.86737009922206</v>
      </c>
    </row>
    <row r="61" spans="2:51" x14ac:dyDescent="0.2">
      <c r="B61">
        <v>2083</v>
      </c>
      <c r="C61" s="1">
        <v>0</v>
      </c>
      <c r="D61" s="1">
        <v>27.560711439822501</v>
      </c>
      <c r="E61" s="1">
        <v>0</v>
      </c>
      <c r="F61" s="1">
        <v>24192.653862478001</v>
      </c>
      <c r="G61" s="1">
        <f t="shared" si="0"/>
        <v>133.05959624362899</v>
      </c>
      <c r="H61" s="1">
        <f t="shared" si="1"/>
        <v>105.49888480380649</v>
      </c>
      <c r="I61" s="1">
        <f>SUM($H$3:H61)</f>
        <v>1909.5970671426239</v>
      </c>
      <c r="J61" s="3">
        <v>0</v>
      </c>
      <c r="K61" s="3">
        <v>20.325546965231801</v>
      </c>
      <c r="L61" s="3">
        <v>0</v>
      </c>
      <c r="M61" s="3">
        <v>19178.322992721802</v>
      </c>
      <c r="N61" s="3">
        <f t="shared" si="2"/>
        <v>105.48077645996992</v>
      </c>
      <c r="O61" s="3">
        <f t="shared" si="3"/>
        <v>85.155229494738109</v>
      </c>
      <c r="P61" s="3">
        <f>SUM($O$3:O61)</f>
        <v>1371.8100408607108</v>
      </c>
      <c r="Q61" s="5">
        <v>0</v>
      </c>
      <c r="R61" s="5">
        <v>11.974692928187199</v>
      </c>
      <c r="S61" s="5">
        <v>0</v>
      </c>
      <c r="T61" s="5">
        <v>16405.1400765705</v>
      </c>
      <c r="U61" s="5">
        <f t="shared" si="4"/>
        <v>90.228270421137765</v>
      </c>
      <c r="V61" s="5">
        <f t="shared" si="5"/>
        <v>78.253577492950569</v>
      </c>
      <c r="W61" s="5">
        <f>SUM($V$3:V61)</f>
        <v>2731.3660907643257</v>
      </c>
      <c r="X61" s="6">
        <v>5.9647915396399185</v>
      </c>
      <c r="Y61" s="6">
        <v>11.974692928187199</v>
      </c>
      <c r="Z61" s="6">
        <v>0</v>
      </c>
      <c r="AA61" s="6">
        <v>17850.107296251401</v>
      </c>
      <c r="AB61" s="6">
        <f t="shared" si="6"/>
        <v>98.175590129382712</v>
      </c>
      <c r="AC61" s="6">
        <f t="shared" si="7"/>
        <v>80.236105661555598</v>
      </c>
      <c r="AD61" s="6">
        <f>SUM($AC$3:AC61)</f>
        <v>1638.5467811821436</v>
      </c>
      <c r="AE61" s="14">
        <v>78.562866454230061</v>
      </c>
      <c r="AF61" s="14">
        <v>44.744690126431998</v>
      </c>
      <c r="AG61" s="14">
        <v>0</v>
      </c>
      <c r="AH61" s="14">
        <v>28645.475180551199</v>
      </c>
      <c r="AI61" s="14">
        <f t="shared" si="8"/>
        <v>157.5501134930316</v>
      </c>
      <c r="AJ61" s="14">
        <f t="shared" si="9"/>
        <v>34.242556912369537</v>
      </c>
      <c r="AK61" s="14">
        <f>SUM($AJ$3:AJ61)</f>
        <v>561.18913337109416</v>
      </c>
      <c r="AL61" s="16">
        <v>80.798204953839786</v>
      </c>
      <c r="AM61" s="16">
        <v>21.183159687998501</v>
      </c>
      <c r="AN61" s="16">
        <v>0</v>
      </c>
      <c r="AO61" s="16">
        <v>25419.250989843102</v>
      </c>
      <c r="AP61" s="16">
        <f t="shared" si="10"/>
        <v>139.80588044413705</v>
      </c>
      <c r="AQ61" s="16">
        <f t="shared" si="11"/>
        <v>37.824515802298762</v>
      </c>
      <c r="AR61" s="16">
        <f>SUM($AQ$3:AQ61)</f>
        <v>640.00273667716431</v>
      </c>
      <c r="AS61" s="20">
        <v>81.981216669390051</v>
      </c>
      <c r="AT61" s="20">
        <v>16.973455889248001</v>
      </c>
      <c r="AU61" s="20">
        <v>0</v>
      </c>
      <c r="AV61" s="20">
        <v>24356.944246732201</v>
      </c>
      <c r="AW61" s="20">
        <f t="shared" si="12"/>
        <v>133.96319335702711</v>
      </c>
      <c r="AX61" s="20">
        <f t="shared" si="13"/>
        <v>35.008520798389057</v>
      </c>
      <c r="AY61" s="20">
        <f>SUM($AX$3:AX61)</f>
        <v>591.87589089761116</v>
      </c>
    </row>
    <row r="62" spans="2:51" x14ac:dyDescent="0.2">
      <c r="B62">
        <v>2084</v>
      </c>
      <c r="C62" s="1">
        <v>0</v>
      </c>
      <c r="D62" s="1">
        <v>26.666593935908899</v>
      </c>
      <c r="E62" s="1">
        <v>0</v>
      </c>
      <c r="F62" s="1">
        <v>24484.5272506439</v>
      </c>
      <c r="G62" s="1">
        <f t="shared" si="0"/>
        <v>134.66489987854146</v>
      </c>
      <c r="H62" s="1">
        <f t="shared" si="1"/>
        <v>107.99830594263256</v>
      </c>
      <c r="I62" s="1">
        <f>SUM($H$3:H62)</f>
        <v>2017.5953730852566</v>
      </c>
      <c r="J62" s="3">
        <v>0</v>
      </c>
      <c r="K62" s="3">
        <v>19.8302404573754</v>
      </c>
      <c r="L62" s="3">
        <v>0</v>
      </c>
      <c r="M62" s="3">
        <v>19388.318043718398</v>
      </c>
      <c r="N62" s="3">
        <f t="shared" si="2"/>
        <v>106.6357492404512</v>
      </c>
      <c r="O62" s="3">
        <f t="shared" si="3"/>
        <v>86.805508783075808</v>
      </c>
      <c r="P62" s="3">
        <f>SUM($O$3:O62)</f>
        <v>1458.6155496437866</v>
      </c>
      <c r="Q62" s="5">
        <v>0</v>
      </c>
      <c r="R62" s="5">
        <v>11.4784464421069</v>
      </c>
      <c r="S62" s="5">
        <v>0</v>
      </c>
      <c r="T62" s="5">
        <v>16463.9216029409</v>
      </c>
      <c r="U62" s="5">
        <f t="shared" si="4"/>
        <v>90.551568816174949</v>
      </c>
      <c r="V62" s="5">
        <f t="shared" si="5"/>
        <v>79.073122374068049</v>
      </c>
      <c r="W62" s="5">
        <f>SUM($V$3:V62)</f>
        <v>2810.4392131383938</v>
      </c>
      <c r="X62" s="6">
        <v>5.9647915396501503</v>
      </c>
      <c r="Y62" s="6">
        <v>11.4784464421069</v>
      </c>
      <c r="Z62" s="6">
        <v>0</v>
      </c>
      <c r="AA62" s="6">
        <v>17914.853614161399</v>
      </c>
      <c r="AB62" s="6">
        <f t="shared" si="6"/>
        <v>98.531694877887702</v>
      </c>
      <c r="AC62" s="6">
        <f t="shared" si="7"/>
        <v>81.088456896130651</v>
      </c>
      <c r="AD62" s="6">
        <f>SUM($AC$3:AC62)</f>
        <v>1719.6352380782741</v>
      </c>
      <c r="AE62" s="14">
        <v>78.562866454230061</v>
      </c>
      <c r="AF62" s="14">
        <v>44.865308325188202</v>
      </c>
      <c r="AG62" s="14">
        <v>0</v>
      </c>
      <c r="AH62" s="14">
        <v>29481.109875796399</v>
      </c>
      <c r="AI62" s="14">
        <f t="shared" si="8"/>
        <v>162.14610431688021</v>
      </c>
      <c r="AJ62" s="14">
        <f t="shared" si="9"/>
        <v>38.717929537461941</v>
      </c>
      <c r="AK62" s="14">
        <f>SUM($AJ$3:AJ62)</f>
        <v>599.9070629085561</v>
      </c>
      <c r="AL62" s="16">
        <v>80.798204953850018</v>
      </c>
      <c r="AM62" s="16">
        <v>20.959866285062699</v>
      </c>
      <c r="AN62" s="16">
        <v>0</v>
      </c>
      <c r="AO62" s="16">
        <v>26162.788806232598</v>
      </c>
      <c r="AP62" s="16">
        <f t="shared" si="10"/>
        <v>143.8953384342793</v>
      </c>
      <c r="AQ62" s="16">
        <f t="shared" si="11"/>
        <v>42.137267195366576</v>
      </c>
      <c r="AR62" s="16">
        <f>SUM($AQ$3:AQ62)</f>
        <v>682.14000387253088</v>
      </c>
      <c r="AS62" s="20">
        <v>81.981216669390051</v>
      </c>
      <c r="AT62" s="20">
        <v>16.666346189262601</v>
      </c>
      <c r="AU62" s="20">
        <v>0</v>
      </c>
      <c r="AV62" s="20">
        <v>25074.4838411118</v>
      </c>
      <c r="AW62" s="20">
        <f t="shared" si="12"/>
        <v>137.90966112611491</v>
      </c>
      <c r="AX62" s="20">
        <f t="shared" si="13"/>
        <v>39.262098267462264</v>
      </c>
      <c r="AY62" s="20">
        <f>SUM($AX$3:AX62)</f>
        <v>631.13798916507346</v>
      </c>
    </row>
    <row r="63" spans="2:51" x14ac:dyDescent="0.2">
      <c r="B63">
        <v>2085</v>
      </c>
      <c r="C63" s="1">
        <v>0</v>
      </c>
      <c r="D63" s="1">
        <v>25.772476431995301</v>
      </c>
      <c r="E63" s="1">
        <v>0</v>
      </c>
      <c r="F63" s="1">
        <v>24776.400638809799</v>
      </c>
      <c r="G63" s="1">
        <f t="shared" si="0"/>
        <v>136.27020351345388</v>
      </c>
      <c r="H63" s="1">
        <f t="shared" si="1"/>
        <v>110.49772708145858</v>
      </c>
      <c r="I63" s="1">
        <f>SUM($H$3:H63)</f>
        <v>2128.093100166715</v>
      </c>
      <c r="J63" s="3">
        <v>0</v>
      </c>
      <c r="K63" s="3">
        <v>19.334933949519002</v>
      </c>
      <c r="L63" s="3">
        <v>0</v>
      </c>
      <c r="M63" s="3">
        <v>19598.313094714998</v>
      </c>
      <c r="N63" s="3">
        <f t="shared" si="2"/>
        <v>107.79072202093251</v>
      </c>
      <c r="O63" s="3">
        <f t="shared" si="3"/>
        <v>88.455788071413508</v>
      </c>
      <c r="P63" s="3">
        <f>SUM($O$3:O63)</f>
        <v>1547.0713377152001</v>
      </c>
      <c r="Q63" s="5">
        <v>0</v>
      </c>
      <c r="R63" s="5">
        <v>10.9821999560266</v>
      </c>
      <c r="S63" s="5">
        <v>0</v>
      </c>
      <c r="T63" s="5">
        <v>16522.7031293113</v>
      </c>
      <c r="U63" s="5">
        <f t="shared" si="4"/>
        <v>90.874867211212148</v>
      </c>
      <c r="V63" s="5">
        <f t="shared" si="5"/>
        <v>79.892667255185543</v>
      </c>
      <c r="W63" s="5">
        <f>SUM($V$3:V63)</f>
        <v>2890.3318803935795</v>
      </c>
      <c r="X63" s="6">
        <v>5.9647915396499229</v>
      </c>
      <c r="Y63" s="6">
        <v>10.9821999560266</v>
      </c>
      <c r="Z63" s="6">
        <v>0</v>
      </c>
      <c r="AA63" s="6">
        <v>17979.599932071498</v>
      </c>
      <c r="AB63" s="6">
        <f t="shared" si="6"/>
        <v>98.887799626393246</v>
      </c>
      <c r="AC63" s="6">
        <f t="shared" si="7"/>
        <v>81.940808130716718</v>
      </c>
      <c r="AD63" s="6">
        <f>SUM($AC$3:AC63)</f>
        <v>1801.5760462089909</v>
      </c>
      <c r="AE63" s="14">
        <v>78.562866454229834</v>
      </c>
      <c r="AF63" s="14">
        <v>44.9859265239444</v>
      </c>
      <c r="AG63" s="14">
        <v>0</v>
      </c>
      <c r="AH63" s="14">
        <v>30316.744571041701</v>
      </c>
      <c r="AI63" s="14">
        <f t="shared" si="8"/>
        <v>166.74209514072936</v>
      </c>
      <c r="AJ63" s="14">
        <f t="shared" si="9"/>
        <v>43.193302162555128</v>
      </c>
      <c r="AK63" s="14">
        <f>SUM($AJ$3:AJ63)</f>
        <v>643.10036507111124</v>
      </c>
      <c r="AL63" s="16">
        <v>80.798204953850018</v>
      </c>
      <c r="AM63" s="16">
        <v>20.7365728821269</v>
      </c>
      <c r="AN63" s="16">
        <v>0</v>
      </c>
      <c r="AO63" s="16">
        <v>26906.3266226222</v>
      </c>
      <c r="AP63" s="16">
        <f t="shared" si="10"/>
        <v>147.98479642442211</v>
      </c>
      <c r="AQ63" s="16">
        <f t="shared" si="11"/>
        <v>46.450018588445204</v>
      </c>
      <c r="AR63" s="16">
        <f>SUM($AQ$3:AQ63)</f>
        <v>728.59002246097612</v>
      </c>
      <c r="AS63" s="20">
        <v>81.981216669390051</v>
      </c>
      <c r="AT63" s="20">
        <v>16.359236489277201</v>
      </c>
      <c r="AU63" s="20">
        <v>0</v>
      </c>
      <c r="AV63" s="20">
        <v>25792.023435491501</v>
      </c>
      <c r="AW63" s="20">
        <f t="shared" si="12"/>
        <v>141.85612889520326</v>
      </c>
      <c r="AX63" s="20">
        <f t="shared" si="13"/>
        <v>43.515675736535997</v>
      </c>
      <c r="AY63" s="20">
        <f>SUM($AX$3:AX63)</f>
        <v>674.65366490160943</v>
      </c>
    </row>
    <row r="64" spans="2:51" x14ac:dyDescent="0.2">
      <c r="B64">
        <v>2086</v>
      </c>
      <c r="C64" s="1">
        <v>0</v>
      </c>
      <c r="D64" s="1">
        <v>24.926765146035901</v>
      </c>
      <c r="E64" s="1">
        <v>0</v>
      </c>
      <c r="F64" s="1">
        <v>25040.216377319299</v>
      </c>
      <c r="G64" s="1">
        <f t="shared" si="0"/>
        <v>137.72119007525615</v>
      </c>
      <c r="H64" s="1">
        <f t="shared" si="1"/>
        <v>112.79442492922024</v>
      </c>
      <c r="I64" s="1">
        <f>SUM($H$3:H64)</f>
        <v>2240.8875250959354</v>
      </c>
      <c r="J64" s="3">
        <v>0</v>
      </c>
      <c r="K64" s="3">
        <v>18.798792784990798</v>
      </c>
      <c r="L64" s="3">
        <v>0</v>
      </c>
      <c r="M64" s="3">
        <v>19790.6154194474</v>
      </c>
      <c r="N64" s="3">
        <f t="shared" si="2"/>
        <v>108.84838480696072</v>
      </c>
      <c r="O64" s="3">
        <f t="shared" si="3"/>
        <v>90.049592021969929</v>
      </c>
      <c r="P64" s="3">
        <f>SUM($O$3:O64)</f>
        <v>1637.1209297371699</v>
      </c>
      <c r="Q64" s="5">
        <v>0</v>
      </c>
      <c r="R64" s="5">
        <v>10.360537801820699</v>
      </c>
      <c r="S64" s="5">
        <v>0</v>
      </c>
      <c r="T64" s="5">
        <v>16569.664405930798</v>
      </c>
      <c r="U64" s="5">
        <f t="shared" si="4"/>
        <v>91.133154232619404</v>
      </c>
      <c r="V64" s="5">
        <f t="shared" si="5"/>
        <v>80.772616430798706</v>
      </c>
      <c r="W64" s="5">
        <f>SUM($V$3:V64)</f>
        <v>2971.1044968243782</v>
      </c>
      <c r="X64" s="6">
        <v>8.2512358995900286</v>
      </c>
      <c r="Y64" s="6">
        <v>10.360537801820699</v>
      </c>
      <c r="Z64" s="6">
        <v>0</v>
      </c>
      <c r="AA64" s="6">
        <v>18034.8124445906</v>
      </c>
      <c r="AB64" s="6">
        <f t="shared" si="6"/>
        <v>99.191468445248304</v>
      </c>
      <c r="AC64" s="6">
        <f t="shared" si="7"/>
        <v>80.579694743837578</v>
      </c>
      <c r="AD64" s="6">
        <f>SUM($AC$3:AC64)</f>
        <v>1882.1557409528284</v>
      </c>
      <c r="AE64" s="14">
        <v>101.44109624994007</v>
      </c>
      <c r="AF64" s="14">
        <v>45.177960048138097</v>
      </c>
      <c r="AG64" s="14">
        <v>0</v>
      </c>
      <c r="AH64" s="14">
        <v>31320.7290883163</v>
      </c>
      <c r="AI64" s="14">
        <f t="shared" si="8"/>
        <v>172.26400998573968</v>
      </c>
      <c r="AJ64" s="14">
        <f t="shared" si="9"/>
        <v>25.644953687661513</v>
      </c>
      <c r="AK64" s="14">
        <f>SUM($AJ$3:AJ64)</f>
        <v>668.74531875877278</v>
      </c>
      <c r="AL64" s="16">
        <v>104.13674596115015</v>
      </c>
      <c r="AM64" s="16">
        <v>20.5166639387344</v>
      </c>
      <c r="AN64" s="16">
        <v>0</v>
      </c>
      <c r="AO64" s="16">
        <v>27802.989809687901</v>
      </c>
      <c r="AP64" s="16">
        <f t="shared" si="10"/>
        <v>152.91644395328348</v>
      </c>
      <c r="AQ64" s="16">
        <f t="shared" si="11"/>
        <v>28.263034053398911</v>
      </c>
      <c r="AR64" s="16">
        <f>SUM($AQ$3:AQ64)</f>
        <v>756.853056514375</v>
      </c>
      <c r="AS64" s="20">
        <v>105.38082332298995</v>
      </c>
      <c r="AT64" s="20">
        <v>16.030571869956599</v>
      </c>
      <c r="AU64" s="20">
        <v>0</v>
      </c>
      <c r="AV64" s="20">
        <v>26661.361697709799</v>
      </c>
      <c r="AW64" s="20">
        <f t="shared" si="12"/>
        <v>146.63748933740391</v>
      </c>
      <c r="AX64" s="20">
        <f t="shared" si="13"/>
        <v>25.226094144457363</v>
      </c>
      <c r="AY64" s="20">
        <f>SUM($AX$3:AX64)</f>
        <v>699.87975904606674</v>
      </c>
    </row>
    <row r="65" spans="2:51" x14ac:dyDescent="0.2">
      <c r="B65">
        <v>2087</v>
      </c>
      <c r="C65" s="1">
        <v>0</v>
      </c>
      <c r="D65" s="1">
        <v>24.081053860076601</v>
      </c>
      <c r="E65" s="1">
        <v>0</v>
      </c>
      <c r="F65" s="1">
        <v>25304.032115828901</v>
      </c>
      <c r="G65" s="1">
        <f t="shared" si="0"/>
        <v>139.17217663705898</v>
      </c>
      <c r="H65" s="1">
        <f t="shared" si="1"/>
        <v>115.09112277698239</v>
      </c>
      <c r="I65" s="1">
        <f>SUM($H$3:H65)</f>
        <v>2355.9786478729179</v>
      </c>
      <c r="J65" s="3">
        <v>0</v>
      </c>
      <c r="K65" s="3">
        <v>18.262651620462702</v>
      </c>
      <c r="L65" s="3">
        <v>0</v>
      </c>
      <c r="M65" s="3">
        <v>19982.9177441797</v>
      </c>
      <c r="N65" s="3">
        <f t="shared" si="2"/>
        <v>109.90604759298836</v>
      </c>
      <c r="O65" s="3">
        <f t="shared" si="3"/>
        <v>91.643395972525653</v>
      </c>
      <c r="P65" s="3">
        <f>SUM($O$3:O65)</f>
        <v>1728.7643257096956</v>
      </c>
      <c r="Q65" s="5">
        <v>0</v>
      </c>
      <c r="R65" s="5">
        <v>9.7388756476148206</v>
      </c>
      <c r="S65" s="5">
        <v>0</v>
      </c>
      <c r="T65" s="5">
        <v>16616.625682550399</v>
      </c>
      <c r="U65" s="5">
        <f t="shared" si="4"/>
        <v>91.3914412540272</v>
      </c>
      <c r="V65" s="5">
        <f t="shared" si="5"/>
        <v>81.652565606412381</v>
      </c>
      <c r="W65" s="5">
        <f>SUM($V$3:V65)</f>
        <v>3052.7570624307905</v>
      </c>
      <c r="X65" s="6">
        <v>8.2512358995800241</v>
      </c>
      <c r="Y65" s="6">
        <v>9.7388756476148206</v>
      </c>
      <c r="Z65" s="6">
        <v>0</v>
      </c>
      <c r="AA65" s="6">
        <v>18090.024957109701</v>
      </c>
      <c r="AB65" s="6">
        <f t="shared" si="6"/>
        <v>99.495137264103363</v>
      </c>
      <c r="AC65" s="6">
        <f t="shared" si="7"/>
        <v>81.50502571690852</v>
      </c>
      <c r="AD65" s="6">
        <f>SUM($AC$3:AC65)</f>
        <v>1963.6607666697369</v>
      </c>
      <c r="AE65" s="14">
        <v>101.44109624993007</v>
      </c>
      <c r="AF65" s="14">
        <v>45.369993572331701</v>
      </c>
      <c r="AG65" s="14">
        <v>0</v>
      </c>
      <c r="AH65" s="14">
        <v>32324.713605590801</v>
      </c>
      <c r="AI65" s="14">
        <f t="shared" si="8"/>
        <v>177.78592483074942</v>
      </c>
      <c r="AJ65" s="14">
        <f t="shared" si="9"/>
        <v>30.974835008487645</v>
      </c>
      <c r="AK65" s="14">
        <f>SUM($AJ$3:AJ65)</f>
        <v>699.7201537672604</v>
      </c>
      <c r="AL65" s="16">
        <v>104.13674596114993</v>
      </c>
      <c r="AM65" s="16">
        <v>20.296754995341999</v>
      </c>
      <c r="AN65" s="16">
        <v>0</v>
      </c>
      <c r="AO65" s="16">
        <v>28699.652996753699</v>
      </c>
      <c r="AP65" s="16">
        <f t="shared" si="10"/>
        <v>157.84809148214538</v>
      </c>
      <c r="AQ65" s="16">
        <f t="shared" si="11"/>
        <v>33.414590525653466</v>
      </c>
      <c r="AR65" s="16">
        <f>SUM($AQ$3:AQ65)</f>
        <v>790.26764704002846</v>
      </c>
      <c r="AS65" s="20">
        <v>105.38082332299996</v>
      </c>
      <c r="AT65" s="20">
        <v>15.701907250635999</v>
      </c>
      <c r="AU65" s="20">
        <v>0</v>
      </c>
      <c r="AV65" s="20">
        <v>27530.699959927999</v>
      </c>
      <c r="AW65" s="20">
        <f t="shared" si="12"/>
        <v>151.41884977960399</v>
      </c>
      <c r="AX65" s="20">
        <f t="shared" si="13"/>
        <v>30.336119205968032</v>
      </c>
      <c r="AY65" s="20">
        <f>SUM($AX$3:AX65)</f>
        <v>730.21587825203483</v>
      </c>
    </row>
    <row r="66" spans="2:51" x14ac:dyDescent="0.2">
      <c r="B66">
        <v>2088</v>
      </c>
      <c r="C66" s="1">
        <v>0</v>
      </c>
      <c r="D66" s="1">
        <v>23.235342574117301</v>
      </c>
      <c r="E66" s="1">
        <v>0</v>
      </c>
      <c r="F66" s="1">
        <v>25567.847854338401</v>
      </c>
      <c r="G66" s="1">
        <f t="shared" si="0"/>
        <v>140.62316319886119</v>
      </c>
      <c r="H66" s="1">
        <f t="shared" si="1"/>
        <v>117.3878206247439</v>
      </c>
      <c r="I66" s="1">
        <f>SUM($H$3:H66)</f>
        <v>2473.366468497662</v>
      </c>
      <c r="J66" s="3">
        <v>0</v>
      </c>
      <c r="K66" s="3">
        <v>17.726510455934498</v>
      </c>
      <c r="L66" s="3">
        <v>0</v>
      </c>
      <c r="M66" s="3">
        <v>20175.220068912098</v>
      </c>
      <c r="N66" s="3">
        <f t="shared" si="2"/>
        <v>110.96371037901655</v>
      </c>
      <c r="O66" s="3">
        <f t="shared" si="3"/>
        <v>93.237199923082045</v>
      </c>
      <c r="P66" s="3">
        <f>SUM($O$3:O66)</f>
        <v>1822.0015256327777</v>
      </c>
      <c r="Q66" s="5">
        <v>0</v>
      </c>
      <c r="R66" s="5">
        <v>9.1172134934089097</v>
      </c>
      <c r="S66" s="5">
        <v>0</v>
      </c>
      <c r="T66" s="5">
        <v>16663.586959169901</v>
      </c>
      <c r="U66" s="5">
        <f t="shared" si="4"/>
        <v>91.64972827543447</v>
      </c>
      <c r="V66" s="5">
        <f t="shared" si="5"/>
        <v>82.532514782025558</v>
      </c>
      <c r="W66" s="5">
        <f>SUM($V$3:V66)</f>
        <v>3135.2895772128159</v>
      </c>
      <c r="X66" s="6">
        <v>8.251235899600033</v>
      </c>
      <c r="Y66" s="6">
        <v>9.1172134934089097</v>
      </c>
      <c r="Z66" s="6">
        <v>0</v>
      </c>
      <c r="AA66" s="6">
        <v>18145.237469628901</v>
      </c>
      <c r="AB66" s="6">
        <f t="shared" si="6"/>
        <v>99.798806082958961</v>
      </c>
      <c r="AC66" s="6">
        <f t="shared" si="7"/>
        <v>82.430356689950017</v>
      </c>
      <c r="AD66" s="6">
        <f>SUM($AC$3:AC66)</f>
        <v>2046.0911233596869</v>
      </c>
      <c r="AE66" s="14">
        <v>101.44109624993985</v>
      </c>
      <c r="AF66" s="14">
        <v>45.562027096525398</v>
      </c>
      <c r="AG66" s="14">
        <v>0</v>
      </c>
      <c r="AH66" s="14">
        <v>33328.698122865397</v>
      </c>
      <c r="AI66" s="14">
        <f t="shared" si="8"/>
        <v>183.30783967575971</v>
      </c>
      <c r="AJ66" s="14">
        <f t="shared" si="9"/>
        <v>36.304716329294479</v>
      </c>
      <c r="AK66" s="14">
        <f>SUM($AJ$3:AJ66)</f>
        <v>736.02487009655488</v>
      </c>
      <c r="AL66" s="16">
        <v>104.13674596114993</v>
      </c>
      <c r="AM66" s="16">
        <v>20.076846051949602</v>
      </c>
      <c r="AN66" s="16">
        <v>0</v>
      </c>
      <c r="AO66" s="16">
        <v>29596.316183819501</v>
      </c>
      <c r="AP66" s="16">
        <f t="shared" si="10"/>
        <v>162.77973901100725</v>
      </c>
      <c r="AQ66" s="16">
        <f t="shared" si="11"/>
        <v>38.566146997907708</v>
      </c>
      <c r="AR66" s="16">
        <f>SUM($AQ$3:AQ66)</f>
        <v>828.83379403793617</v>
      </c>
      <c r="AS66" s="20">
        <v>105.38082332300019</v>
      </c>
      <c r="AT66" s="20">
        <v>15.373242631315399</v>
      </c>
      <c r="AU66" s="20">
        <v>0</v>
      </c>
      <c r="AV66" s="20">
        <v>28400.038222146301</v>
      </c>
      <c r="AW66" s="20">
        <f t="shared" si="12"/>
        <v>156.20021022180467</v>
      </c>
      <c r="AX66" s="20">
        <f t="shared" si="13"/>
        <v>35.446144267489075</v>
      </c>
      <c r="AY66" s="20">
        <f>SUM($AX$3:AX66)</f>
        <v>765.66202251952393</v>
      </c>
    </row>
    <row r="67" spans="2:51" x14ac:dyDescent="0.2">
      <c r="B67">
        <v>2089</v>
      </c>
      <c r="C67" s="1">
        <v>0</v>
      </c>
      <c r="D67" s="1">
        <v>22.389631288158</v>
      </c>
      <c r="E67" s="1">
        <v>0</v>
      </c>
      <c r="F67" s="1">
        <v>25831.663592847901</v>
      </c>
      <c r="G67" s="1">
        <f t="shared" si="0"/>
        <v>142.07414976066346</v>
      </c>
      <c r="H67" s="1">
        <f t="shared" si="1"/>
        <v>119.68451847250546</v>
      </c>
      <c r="I67" s="1">
        <f>SUM($H$3:H67)</f>
        <v>2593.0509869701673</v>
      </c>
      <c r="J67" s="3">
        <v>0</v>
      </c>
      <c r="K67" s="3">
        <v>17.190369291406299</v>
      </c>
      <c r="L67" s="3">
        <v>0</v>
      </c>
      <c r="M67" s="3">
        <v>20367.522393644402</v>
      </c>
      <c r="N67" s="3">
        <f t="shared" si="2"/>
        <v>112.02137316504421</v>
      </c>
      <c r="O67" s="3">
        <f t="shared" si="3"/>
        <v>94.831003873637911</v>
      </c>
      <c r="P67" s="3">
        <f>SUM($O$3:O67)</f>
        <v>1916.8325295064155</v>
      </c>
      <c r="Q67" s="5">
        <v>0</v>
      </c>
      <c r="R67" s="5">
        <v>8.4955513392030007</v>
      </c>
      <c r="S67" s="5">
        <v>0</v>
      </c>
      <c r="T67" s="5">
        <v>16710.548235789502</v>
      </c>
      <c r="U67" s="5">
        <f t="shared" si="4"/>
        <v>91.908015296842265</v>
      </c>
      <c r="V67" s="5">
        <f t="shared" si="5"/>
        <v>83.412463957639261</v>
      </c>
      <c r="W67" s="5">
        <f>SUM($V$3:V67)</f>
        <v>3218.7020411704552</v>
      </c>
      <c r="X67" s="6">
        <v>8.2512358995800241</v>
      </c>
      <c r="Y67" s="6">
        <v>8.4955513392030007</v>
      </c>
      <c r="Z67" s="6">
        <v>0</v>
      </c>
      <c r="AA67" s="6">
        <v>18200.449982147999</v>
      </c>
      <c r="AB67" s="6">
        <f t="shared" si="6"/>
        <v>100.10247490181399</v>
      </c>
      <c r="AC67" s="6">
        <f t="shared" si="7"/>
        <v>83.355687663030963</v>
      </c>
      <c r="AD67" s="6">
        <f>SUM($AC$3:AC67)</f>
        <v>2129.4468110227181</v>
      </c>
      <c r="AE67" s="14">
        <v>101.44109624994007</v>
      </c>
      <c r="AF67" s="14">
        <v>45.754060620719002</v>
      </c>
      <c r="AG67" s="14">
        <v>0</v>
      </c>
      <c r="AH67" s="14">
        <v>34332.682640139901</v>
      </c>
      <c r="AI67" s="14">
        <f t="shared" si="8"/>
        <v>188.82975452076948</v>
      </c>
      <c r="AJ67" s="14">
        <f t="shared" si="9"/>
        <v>41.634597650110408</v>
      </c>
      <c r="AK67" s="14">
        <f>SUM($AJ$3:AJ67)</f>
        <v>777.65946774666531</v>
      </c>
      <c r="AL67" s="16">
        <v>104.13674596115015</v>
      </c>
      <c r="AM67" s="16">
        <v>19.856937108557101</v>
      </c>
      <c r="AN67" s="16">
        <v>0</v>
      </c>
      <c r="AO67" s="16">
        <v>30492.979370885299</v>
      </c>
      <c r="AP67" s="16">
        <f t="shared" si="10"/>
        <v>167.71138653986918</v>
      </c>
      <c r="AQ67" s="16">
        <f t="shared" si="11"/>
        <v>43.717703470161922</v>
      </c>
      <c r="AR67" s="16">
        <f>SUM($AQ$3:AQ67)</f>
        <v>872.55149750809812</v>
      </c>
      <c r="AS67" s="20">
        <v>105.38082332298973</v>
      </c>
      <c r="AT67" s="20">
        <v>15.044578011994799</v>
      </c>
      <c r="AU67" s="20">
        <v>0</v>
      </c>
      <c r="AV67" s="20">
        <v>29269.3764843645</v>
      </c>
      <c r="AW67" s="20">
        <f t="shared" si="12"/>
        <v>160.98157066400475</v>
      </c>
      <c r="AX67" s="20">
        <f t="shared" si="13"/>
        <v>40.556169329020236</v>
      </c>
      <c r="AY67" s="20">
        <f>SUM($AX$3:AX67)</f>
        <v>806.21819184854417</v>
      </c>
    </row>
    <row r="68" spans="2:51" x14ac:dyDescent="0.2">
      <c r="B68">
        <v>2090</v>
      </c>
      <c r="C68" s="1">
        <v>0</v>
      </c>
      <c r="D68" s="1">
        <v>21.5439200021987</v>
      </c>
      <c r="E68" s="1">
        <v>0</v>
      </c>
      <c r="F68" s="1">
        <v>26095.479331357499</v>
      </c>
      <c r="G68" s="1">
        <f t="shared" ref="G68:G78" si="14">F68*0.11*$A$2</f>
        <v>143.52513632246627</v>
      </c>
      <c r="H68" s="1">
        <f t="shared" ref="H68:H78" si="15">G68+E68-D68-C68</f>
        <v>121.98121632026756</v>
      </c>
      <c r="I68" s="1">
        <f>SUM($H$3:H68)</f>
        <v>2715.0322032904351</v>
      </c>
      <c r="J68" s="3">
        <v>0</v>
      </c>
      <c r="K68" s="3">
        <v>16.654228126878198</v>
      </c>
      <c r="L68" s="3">
        <v>0</v>
      </c>
      <c r="M68" s="3">
        <v>20559.8247183768</v>
      </c>
      <c r="N68" s="3">
        <f t="shared" ref="N68:N78" si="16">M68*0.11*$A$2</f>
        <v>113.07903595107241</v>
      </c>
      <c r="O68" s="3">
        <f t="shared" ref="O68:O78" si="17">N68+L68-K68-J68</f>
        <v>96.424807824194218</v>
      </c>
      <c r="P68" s="3">
        <f>SUM($O$3:O68)</f>
        <v>2013.2573373306097</v>
      </c>
      <c r="Q68" s="5">
        <v>0</v>
      </c>
      <c r="R68" s="5">
        <v>7.8738891849970898</v>
      </c>
      <c r="S68" s="5">
        <v>0</v>
      </c>
      <c r="T68" s="5">
        <v>16757.509512409</v>
      </c>
      <c r="U68" s="5">
        <f t="shared" ref="U68:U78" si="18">T68*0.11*$A$2</f>
        <v>92.166302318249507</v>
      </c>
      <c r="V68" s="5">
        <f t="shared" ref="V68:V78" si="19">U68+S68-R68-Q68</f>
        <v>84.29241313325241</v>
      </c>
      <c r="W68" s="5">
        <f>SUM($V$3:V68)</f>
        <v>3302.9944543037077</v>
      </c>
      <c r="X68" s="6">
        <v>8.2512358995998056</v>
      </c>
      <c r="Y68" s="6">
        <v>7.8738891849970898</v>
      </c>
      <c r="Z68" s="6">
        <v>0</v>
      </c>
      <c r="AA68" s="6">
        <v>18255.662494667198</v>
      </c>
      <c r="AB68" s="6">
        <f t="shared" ref="AB68:AB78" si="20">AA68*0.11*$A$2</f>
        <v>100.4061437206696</v>
      </c>
      <c r="AC68" s="6">
        <f t="shared" ref="AC68:AC78" si="21">AB68+Z68-Y68-X68</f>
        <v>84.281018636072702</v>
      </c>
      <c r="AD68" s="6">
        <f>SUM($AC$3:AC68)</f>
        <v>2213.7278296587906</v>
      </c>
      <c r="AE68" s="14">
        <v>101.44109624994007</v>
      </c>
      <c r="AF68" s="14">
        <v>45.9460941449126</v>
      </c>
      <c r="AG68" s="14">
        <v>0</v>
      </c>
      <c r="AH68" s="14">
        <v>35336.6671574145</v>
      </c>
      <c r="AI68" s="14">
        <f t="shared" ref="AI68:AI78" si="22">AH68*0.11*$A$2</f>
        <v>194.35166936577977</v>
      </c>
      <c r="AJ68" s="14">
        <f t="shared" ref="AJ68:AJ78" si="23">AI68+AG68-AF68-AE68</f>
        <v>46.964478970927104</v>
      </c>
      <c r="AK68" s="14">
        <f>SUM($AJ$3:AJ68)</f>
        <v>824.62394671759239</v>
      </c>
      <c r="AL68" s="16">
        <v>104.1367459611497</v>
      </c>
      <c r="AM68" s="16">
        <v>19.637028165164701</v>
      </c>
      <c r="AN68" s="16">
        <v>0</v>
      </c>
      <c r="AO68" s="16">
        <v>31389.642557951101</v>
      </c>
      <c r="AP68" s="16">
        <f t="shared" ref="AP68:AP78" si="24">AO68*0.11*$A$2</f>
        <v>172.64303406873105</v>
      </c>
      <c r="AQ68" s="16">
        <f t="shared" ref="AQ68:AQ78" si="25">AP68+AN68-AM68-AL68</f>
        <v>48.869259942416647</v>
      </c>
      <c r="AR68" s="16">
        <f>SUM($AQ$3:AQ68)</f>
        <v>921.42075745051477</v>
      </c>
      <c r="AS68" s="20">
        <v>105.38082332300019</v>
      </c>
      <c r="AT68" s="20">
        <v>14.715913392674199</v>
      </c>
      <c r="AU68" s="20">
        <v>0</v>
      </c>
      <c r="AV68" s="20">
        <v>30138.714746582798</v>
      </c>
      <c r="AW68" s="20">
        <f t="shared" ref="AW68:AW78" si="26">AV68*0.11*$A$2</f>
        <v>165.7629311062054</v>
      </c>
      <c r="AX68" s="20">
        <f t="shared" ref="AX68:AX78" si="27">AW68+AU68-AT68-AS68</f>
        <v>45.666194390531018</v>
      </c>
      <c r="AY68" s="20">
        <f>SUM($AX$3:AX68)</f>
        <v>851.88438623907518</v>
      </c>
    </row>
    <row r="69" spans="2:51" x14ac:dyDescent="0.2">
      <c r="B69">
        <v>2091</v>
      </c>
      <c r="C69" s="1">
        <v>0</v>
      </c>
      <c r="D69" s="1">
        <v>20.924861618697101</v>
      </c>
      <c r="E69" s="1">
        <v>0</v>
      </c>
      <c r="F69" s="1">
        <v>26330.1532985825</v>
      </c>
      <c r="G69" s="1">
        <f t="shared" si="14"/>
        <v>144.81584314220376</v>
      </c>
      <c r="H69" s="1">
        <f t="shared" si="15"/>
        <v>123.89098152350667</v>
      </c>
      <c r="I69" s="1">
        <f>SUM($H$3:H69)</f>
        <v>2838.9231848139416</v>
      </c>
      <c r="J69" s="3">
        <v>0</v>
      </c>
      <c r="K69" s="3">
        <v>15.97888151257</v>
      </c>
      <c r="L69" s="3">
        <v>0</v>
      </c>
      <c r="M69" s="3">
        <v>20731.6496168622</v>
      </c>
      <c r="N69" s="3">
        <f t="shared" si="16"/>
        <v>114.02407289274211</v>
      </c>
      <c r="O69" s="3">
        <f t="shared" si="17"/>
        <v>98.045191380172113</v>
      </c>
      <c r="P69" s="3">
        <f>SUM($O$3:O69)</f>
        <v>2111.3025287107816</v>
      </c>
      <c r="Q69" s="5">
        <v>0</v>
      </c>
      <c r="R69" s="5">
        <v>7.3795742946316496</v>
      </c>
      <c r="S69" s="5">
        <v>0</v>
      </c>
      <c r="T69" s="5">
        <v>16794.594921544402</v>
      </c>
      <c r="U69" s="5">
        <f t="shared" si="18"/>
        <v>92.370272068494216</v>
      </c>
      <c r="V69" s="5">
        <f t="shared" si="19"/>
        <v>84.990697773862564</v>
      </c>
      <c r="W69" s="5">
        <f>SUM($V$3:V69)</f>
        <v>3387.9851520775701</v>
      </c>
      <c r="X69" s="6">
        <v>7.3350032719001774</v>
      </c>
      <c r="Y69" s="6">
        <v>7.3795742946316496</v>
      </c>
      <c r="Z69" s="6">
        <v>0</v>
      </c>
      <c r="AA69" s="6">
        <v>18300.082907074499</v>
      </c>
      <c r="AB69" s="6">
        <f t="shared" si="20"/>
        <v>100.65045598890975</v>
      </c>
      <c r="AC69" s="6">
        <f t="shared" si="21"/>
        <v>85.935878422377925</v>
      </c>
      <c r="AD69" s="6">
        <f>SUM($AC$3:AC69)</f>
        <v>2299.6637080811684</v>
      </c>
      <c r="AE69" s="14">
        <v>131.56142883647999</v>
      </c>
      <c r="AF69" s="14">
        <v>46.495040429629299</v>
      </c>
      <c r="AG69" s="14">
        <v>0</v>
      </c>
      <c r="AH69" s="14">
        <v>36542.297649239001</v>
      </c>
      <c r="AI69" s="14">
        <f t="shared" si="22"/>
        <v>200.98263707081452</v>
      </c>
      <c r="AJ69" s="14">
        <f t="shared" si="23"/>
        <v>22.926167804705244</v>
      </c>
      <c r="AK69" s="14">
        <f>SUM($AJ$3:AJ69)</f>
        <v>847.55011452229769</v>
      </c>
      <c r="AL69" s="16">
        <v>134.74204910003027</v>
      </c>
      <c r="AM69" s="16">
        <v>19.446529548363898</v>
      </c>
      <c r="AN69" s="16">
        <v>0</v>
      </c>
      <c r="AO69" s="16">
        <v>32470.6750051401</v>
      </c>
      <c r="AP69" s="16">
        <f t="shared" si="24"/>
        <v>178.58871252827055</v>
      </c>
      <c r="AQ69" s="16">
        <f t="shared" si="25"/>
        <v>24.400133879876364</v>
      </c>
      <c r="AR69" s="16">
        <f>SUM($AQ$3:AQ69)</f>
        <v>945.82089133039108</v>
      </c>
      <c r="AS69" s="20">
        <v>136.41672304664007</v>
      </c>
      <c r="AT69" s="20">
        <v>14.327878873271599</v>
      </c>
      <c r="AU69" s="20">
        <v>0</v>
      </c>
      <c r="AV69" s="20">
        <v>31186.409888832801</v>
      </c>
      <c r="AW69" s="20">
        <f t="shared" si="26"/>
        <v>171.52525438858041</v>
      </c>
      <c r="AX69" s="20">
        <f t="shared" si="27"/>
        <v>20.780652468668734</v>
      </c>
      <c r="AY69" s="20">
        <f>SUM($AX$3:AX69)</f>
        <v>872.66503870774386</v>
      </c>
    </row>
    <row r="70" spans="2:51" x14ac:dyDescent="0.2">
      <c r="B70">
        <v>2092</v>
      </c>
      <c r="C70" s="1">
        <v>0</v>
      </c>
      <c r="D70" s="1">
        <v>20.305803235195501</v>
      </c>
      <c r="E70" s="1">
        <v>0</v>
      </c>
      <c r="F70" s="1">
        <v>26564.8272658075</v>
      </c>
      <c r="G70" s="1">
        <f t="shared" si="14"/>
        <v>146.10654996194125</v>
      </c>
      <c r="H70" s="1">
        <f t="shared" si="15"/>
        <v>125.80074672674576</v>
      </c>
      <c r="I70" s="1">
        <f>SUM($H$3:H70)</f>
        <v>2964.7239315406873</v>
      </c>
      <c r="J70" s="3">
        <v>0</v>
      </c>
      <c r="K70" s="3">
        <v>15.3035348982618</v>
      </c>
      <c r="L70" s="3">
        <v>0</v>
      </c>
      <c r="M70" s="3">
        <v>20903.474515347702</v>
      </c>
      <c r="N70" s="3">
        <f t="shared" si="16"/>
        <v>114.96910983441238</v>
      </c>
      <c r="O70" s="3">
        <f t="shared" si="17"/>
        <v>99.665574936150577</v>
      </c>
      <c r="P70" s="3">
        <f>SUM($O$3:O70)</f>
        <v>2210.9681036469324</v>
      </c>
      <c r="Q70" s="5">
        <v>0</v>
      </c>
      <c r="R70" s="5">
        <v>6.8852594042662103</v>
      </c>
      <c r="S70" s="5">
        <v>0</v>
      </c>
      <c r="T70" s="5">
        <v>16831.680330679799</v>
      </c>
      <c r="U70" s="5">
        <f t="shared" si="18"/>
        <v>92.574241818738898</v>
      </c>
      <c r="V70" s="5">
        <f t="shared" si="19"/>
        <v>85.68898241447269</v>
      </c>
      <c r="W70" s="5">
        <f>SUM($V$3:V70)</f>
        <v>3473.6741344920429</v>
      </c>
      <c r="X70" s="6">
        <v>7.3350032718999501</v>
      </c>
      <c r="Y70" s="6">
        <v>6.8852594042662103</v>
      </c>
      <c r="Z70" s="6">
        <v>0</v>
      </c>
      <c r="AA70" s="6">
        <v>18344.503319481701</v>
      </c>
      <c r="AB70" s="6">
        <f t="shared" si="20"/>
        <v>100.89476825714935</v>
      </c>
      <c r="AC70" s="6">
        <f t="shared" si="21"/>
        <v>86.674505580983194</v>
      </c>
      <c r="AD70" s="6">
        <f>SUM($AC$3:AC70)</f>
        <v>2386.3382136621517</v>
      </c>
      <c r="AE70" s="14">
        <v>131.56142883646999</v>
      </c>
      <c r="AF70" s="14">
        <v>47.043986714345998</v>
      </c>
      <c r="AG70" s="14">
        <v>0</v>
      </c>
      <c r="AH70" s="14">
        <v>37747.928141063603</v>
      </c>
      <c r="AI70" s="14">
        <f t="shared" si="22"/>
        <v>207.61360477584981</v>
      </c>
      <c r="AJ70" s="14">
        <f t="shared" si="23"/>
        <v>29.008189225033817</v>
      </c>
      <c r="AK70" s="14">
        <f>SUM($AJ$3:AJ70)</f>
        <v>876.55830374733148</v>
      </c>
      <c r="AL70" s="16">
        <v>134.74204910002982</v>
      </c>
      <c r="AM70" s="16">
        <v>19.256030931563</v>
      </c>
      <c r="AN70" s="16">
        <v>0</v>
      </c>
      <c r="AO70" s="16">
        <v>33551.707452329203</v>
      </c>
      <c r="AP70" s="16">
        <f t="shared" si="24"/>
        <v>184.53439098781064</v>
      </c>
      <c r="AQ70" s="16">
        <f t="shared" si="25"/>
        <v>30.536310956217818</v>
      </c>
      <c r="AR70" s="16">
        <f>SUM($AQ$3:AQ70)</f>
        <v>976.35720228660887</v>
      </c>
      <c r="AS70" s="20">
        <v>136.41672304664962</v>
      </c>
      <c r="AT70" s="20">
        <v>13.9398443538691</v>
      </c>
      <c r="AU70" s="20">
        <v>0</v>
      </c>
      <c r="AV70" s="20">
        <v>32234.1050310828</v>
      </c>
      <c r="AW70" s="20">
        <f t="shared" si="26"/>
        <v>177.28757767095541</v>
      </c>
      <c r="AX70" s="20">
        <f t="shared" si="27"/>
        <v>26.931010270436701</v>
      </c>
      <c r="AY70" s="20">
        <f>SUM($AX$3:AX70)</f>
        <v>899.59604897818053</v>
      </c>
    </row>
    <row r="71" spans="2:51" x14ac:dyDescent="0.2">
      <c r="B71">
        <v>2093</v>
      </c>
      <c r="C71" s="1">
        <v>0</v>
      </c>
      <c r="D71" s="1">
        <v>19.686744851693899</v>
      </c>
      <c r="E71" s="1">
        <v>0</v>
      </c>
      <c r="F71" s="1">
        <v>26799.501233032501</v>
      </c>
      <c r="G71" s="1">
        <f t="shared" si="14"/>
        <v>147.39725678167878</v>
      </c>
      <c r="H71" s="1">
        <f t="shared" si="15"/>
        <v>127.71051192998488</v>
      </c>
      <c r="I71" s="1">
        <f>SUM($H$3:H71)</f>
        <v>3092.4344434706722</v>
      </c>
      <c r="J71" s="3">
        <v>0</v>
      </c>
      <c r="K71" s="3">
        <v>14.628188283953699</v>
      </c>
      <c r="L71" s="3">
        <v>0</v>
      </c>
      <c r="M71" s="3">
        <v>21075.2994138332</v>
      </c>
      <c r="N71" s="3">
        <f t="shared" si="16"/>
        <v>115.91414677608259</v>
      </c>
      <c r="O71" s="3">
        <f t="shared" si="17"/>
        <v>101.28595849212888</v>
      </c>
      <c r="P71" s="3">
        <f>SUM($O$3:O71)</f>
        <v>2312.2540621390613</v>
      </c>
      <c r="Q71" s="5">
        <v>0</v>
      </c>
      <c r="R71" s="5">
        <v>6.3909445139007701</v>
      </c>
      <c r="S71" s="5">
        <v>0</v>
      </c>
      <c r="T71" s="5">
        <v>16868.765739815201</v>
      </c>
      <c r="U71" s="5">
        <f t="shared" si="18"/>
        <v>92.778211568983608</v>
      </c>
      <c r="V71" s="5">
        <f t="shared" si="19"/>
        <v>86.387267055082845</v>
      </c>
      <c r="W71" s="5">
        <f>SUM($V$3:V71)</f>
        <v>3560.0614015471256</v>
      </c>
      <c r="X71" s="6">
        <v>7.3350032718999501</v>
      </c>
      <c r="Y71" s="6">
        <v>6.3909445139007701</v>
      </c>
      <c r="Z71" s="6">
        <v>0</v>
      </c>
      <c r="AA71" s="6">
        <v>18388.923731889001</v>
      </c>
      <c r="AB71" s="6">
        <f t="shared" si="20"/>
        <v>101.13908052538952</v>
      </c>
      <c r="AC71" s="6">
        <f t="shared" si="21"/>
        <v>87.413132739588804</v>
      </c>
      <c r="AD71" s="6">
        <f>SUM($AC$3:AC71)</f>
        <v>2473.7513464017406</v>
      </c>
      <c r="AE71" s="14">
        <v>131.56142883647999</v>
      </c>
      <c r="AF71" s="14">
        <v>47.592932999062697</v>
      </c>
      <c r="AG71" s="14">
        <v>0</v>
      </c>
      <c r="AH71" s="14">
        <v>38953.558632888104</v>
      </c>
      <c r="AI71" s="14">
        <f t="shared" si="22"/>
        <v>214.24457248088459</v>
      </c>
      <c r="AJ71" s="14">
        <f t="shared" si="23"/>
        <v>35.090210645341898</v>
      </c>
      <c r="AK71" s="14">
        <f>SUM($AJ$3:AJ71)</f>
        <v>911.64851439267341</v>
      </c>
      <c r="AL71" s="16">
        <v>134.74204910004028</v>
      </c>
      <c r="AM71" s="16">
        <v>19.065532314762201</v>
      </c>
      <c r="AN71" s="16">
        <v>0</v>
      </c>
      <c r="AO71" s="16">
        <v>34632.739899518303</v>
      </c>
      <c r="AP71" s="16">
        <f t="shared" si="24"/>
        <v>190.48006944735067</v>
      </c>
      <c r="AQ71" s="16">
        <f t="shared" si="25"/>
        <v>36.672488032548188</v>
      </c>
      <c r="AR71" s="16">
        <f>SUM($AQ$3:AQ71)</f>
        <v>1013.029690319157</v>
      </c>
      <c r="AS71" s="20">
        <v>136.41672304664007</v>
      </c>
      <c r="AT71" s="20">
        <v>13.551809834466599</v>
      </c>
      <c r="AU71" s="20">
        <v>0</v>
      </c>
      <c r="AV71" s="20">
        <v>33281.800173332696</v>
      </c>
      <c r="AW71" s="20">
        <f t="shared" si="26"/>
        <v>183.04990095332982</v>
      </c>
      <c r="AX71" s="20">
        <f t="shared" si="27"/>
        <v>33.081368072223142</v>
      </c>
      <c r="AY71" s="20">
        <f>SUM($AX$3:AX71)</f>
        <v>932.67741705040362</v>
      </c>
    </row>
    <row r="72" spans="2:51" x14ac:dyDescent="0.2">
      <c r="B72">
        <v>2094</v>
      </c>
      <c r="C72" s="1">
        <v>0</v>
      </c>
      <c r="D72" s="1">
        <v>19.067686468192299</v>
      </c>
      <c r="E72" s="1">
        <v>0</v>
      </c>
      <c r="F72" s="1">
        <v>27034.175200257501</v>
      </c>
      <c r="G72" s="1">
        <f t="shared" si="14"/>
        <v>148.68796360141627</v>
      </c>
      <c r="H72" s="1">
        <f t="shared" si="15"/>
        <v>129.62027713322396</v>
      </c>
      <c r="I72" s="1">
        <f>SUM($H$3:H72)</f>
        <v>3222.0547206038964</v>
      </c>
      <c r="J72" s="3">
        <v>0</v>
      </c>
      <c r="K72" s="3">
        <v>13.952841669645499</v>
      </c>
      <c r="L72" s="3">
        <v>0</v>
      </c>
      <c r="M72" s="3">
        <v>21247.1243123186</v>
      </c>
      <c r="N72" s="3">
        <f t="shared" si="16"/>
        <v>116.85918371775232</v>
      </c>
      <c r="O72" s="3">
        <f t="shared" si="17"/>
        <v>102.90634204810682</v>
      </c>
      <c r="P72" s="3">
        <f>SUM($O$3:O72)</f>
        <v>2415.1604041871683</v>
      </c>
      <c r="Q72" s="5">
        <v>0</v>
      </c>
      <c r="R72" s="5">
        <v>5.8966296235353299</v>
      </c>
      <c r="S72" s="5">
        <v>0</v>
      </c>
      <c r="T72" s="5">
        <v>16905.851148950602</v>
      </c>
      <c r="U72" s="5">
        <f t="shared" si="18"/>
        <v>92.982181319228317</v>
      </c>
      <c r="V72" s="5">
        <f t="shared" si="19"/>
        <v>87.085551695692985</v>
      </c>
      <c r="W72" s="5">
        <f>SUM($V$3:V72)</f>
        <v>3647.1469532428187</v>
      </c>
      <c r="X72" s="6">
        <v>7.3350032718999501</v>
      </c>
      <c r="Y72" s="6">
        <v>5.8966296235353299</v>
      </c>
      <c r="Z72" s="6">
        <v>0</v>
      </c>
      <c r="AA72" s="6">
        <v>18433.344144296301</v>
      </c>
      <c r="AB72" s="6">
        <f t="shared" si="20"/>
        <v>101.38339279362967</v>
      </c>
      <c r="AC72" s="6">
        <f t="shared" si="21"/>
        <v>88.151759898194385</v>
      </c>
      <c r="AD72" s="6">
        <f>SUM($AC$3:AC72)</f>
        <v>2561.9031062999352</v>
      </c>
      <c r="AE72" s="14">
        <v>131.56142883646999</v>
      </c>
      <c r="AF72" s="14">
        <v>48.141879283779403</v>
      </c>
      <c r="AG72" s="14">
        <v>0</v>
      </c>
      <c r="AH72" s="14">
        <v>40159.189124712597</v>
      </c>
      <c r="AI72" s="14">
        <f t="shared" si="22"/>
        <v>220.87554018591928</v>
      </c>
      <c r="AJ72" s="14">
        <f t="shared" si="23"/>
        <v>41.172232065669903</v>
      </c>
      <c r="AK72" s="14">
        <f>SUM($AJ$3:AJ72)</f>
        <v>952.82074645834336</v>
      </c>
      <c r="AL72" s="16">
        <v>134.74204910002982</v>
      </c>
      <c r="AM72" s="16">
        <v>18.8750336979613</v>
      </c>
      <c r="AN72" s="16">
        <v>0</v>
      </c>
      <c r="AO72" s="16">
        <v>35713.772346707403</v>
      </c>
      <c r="AP72" s="16">
        <f t="shared" si="24"/>
        <v>196.42574790689071</v>
      </c>
      <c r="AQ72" s="16">
        <f t="shared" si="25"/>
        <v>42.808665108899589</v>
      </c>
      <c r="AR72" s="16">
        <f>SUM($AQ$3:AQ72)</f>
        <v>1055.8383554280565</v>
      </c>
      <c r="AS72" s="20">
        <v>136.41672304665008</v>
      </c>
      <c r="AT72" s="20">
        <v>13.163775315063999</v>
      </c>
      <c r="AU72" s="20">
        <v>0</v>
      </c>
      <c r="AV72" s="20">
        <v>34329.495315582702</v>
      </c>
      <c r="AW72" s="20">
        <f t="shared" si="26"/>
        <v>188.81222423570489</v>
      </c>
      <c r="AX72" s="20">
        <f t="shared" si="27"/>
        <v>39.231725873990825</v>
      </c>
      <c r="AY72" s="20">
        <f>SUM($AX$3:AX72)</f>
        <v>971.90914292439447</v>
      </c>
    </row>
    <row r="73" spans="2:51" x14ac:dyDescent="0.2">
      <c r="B73">
        <v>2095</v>
      </c>
      <c r="C73" s="1">
        <v>0</v>
      </c>
      <c r="D73" s="1">
        <v>18.4486280846907</v>
      </c>
      <c r="E73" s="1">
        <v>0</v>
      </c>
      <c r="F73" s="1">
        <v>27268.8491674826</v>
      </c>
      <c r="G73" s="1">
        <f t="shared" si="14"/>
        <v>149.97867042115431</v>
      </c>
      <c r="H73" s="1">
        <f t="shared" si="15"/>
        <v>131.53004233646359</v>
      </c>
      <c r="I73" s="1">
        <f>SUM($H$3:H73)</f>
        <v>3353.5847629403602</v>
      </c>
      <c r="J73" s="3">
        <v>0</v>
      </c>
      <c r="K73" s="3">
        <v>13.277495055337299</v>
      </c>
      <c r="L73" s="3">
        <v>0</v>
      </c>
      <c r="M73" s="3">
        <v>21418.949210804101</v>
      </c>
      <c r="N73" s="3">
        <f t="shared" si="16"/>
        <v>117.80422065942255</v>
      </c>
      <c r="O73" s="3">
        <f t="shared" si="17"/>
        <v>104.52672560408526</v>
      </c>
      <c r="P73" s="3">
        <f>SUM($O$3:O73)</f>
        <v>2519.6871297912535</v>
      </c>
      <c r="Q73" s="5">
        <v>0</v>
      </c>
      <c r="R73" s="5">
        <v>5.4023147331698897</v>
      </c>
      <c r="S73" s="5">
        <v>0</v>
      </c>
      <c r="T73" s="5">
        <v>16942.936558085999</v>
      </c>
      <c r="U73" s="5">
        <f t="shared" si="18"/>
        <v>93.186151069472999</v>
      </c>
      <c r="V73" s="5">
        <f t="shared" si="19"/>
        <v>87.783836336303111</v>
      </c>
      <c r="W73" s="5">
        <f>SUM($V$3:V73)</f>
        <v>3734.9307895791217</v>
      </c>
      <c r="X73" s="6">
        <v>7.3350032719001774</v>
      </c>
      <c r="Y73" s="6">
        <v>5.4023147331698897</v>
      </c>
      <c r="Z73" s="6">
        <v>0</v>
      </c>
      <c r="AA73" s="6">
        <v>18477.764556703602</v>
      </c>
      <c r="AB73" s="6">
        <f t="shared" si="20"/>
        <v>101.62770506186982</v>
      </c>
      <c r="AC73" s="6">
        <f t="shared" si="21"/>
        <v>88.890387056799753</v>
      </c>
      <c r="AD73" s="6">
        <f>SUM($AC$3:AC73)</f>
        <v>2650.7934933567349</v>
      </c>
      <c r="AE73" s="14">
        <v>131.56142883647999</v>
      </c>
      <c r="AF73" s="14">
        <v>48.690825568496102</v>
      </c>
      <c r="AG73" s="14">
        <v>0</v>
      </c>
      <c r="AH73" s="14">
        <v>41364.819616537097</v>
      </c>
      <c r="AI73" s="14">
        <f t="shared" si="22"/>
        <v>227.50650789095403</v>
      </c>
      <c r="AJ73" s="14">
        <f t="shared" si="23"/>
        <v>47.254253485977927</v>
      </c>
      <c r="AK73" s="14">
        <f>SUM($AJ$3:AJ73)</f>
        <v>1000.0749999443212</v>
      </c>
      <c r="AL73" s="16">
        <v>134.74204910002982</v>
      </c>
      <c r="AM73" s="16">
        <v>18.684535081160501</v>
      </c>
      <c r="AN73" s="16">
        <v>0</v>
      </c>
      <c r="AO73" s="16">
        <v>36794.804793896503</v>
      </c>
      <c r="AP73" s="16">
        <f t="shared" si="24"/>
        <v>202.3714263664308</v>
      </c>
      <c r="AQ73" s="16">
        <f t="shared" si="25"/>
        <v>48.944842185240475</v>
      </c>
      <c r="AR73" s="16">
        <f>SUM($AQ$3:AQ73)</f>
        <v>1104.783197613297</v>
      </c>
      <c r="AS73" s="20">
        <v>136.41672304664007</v>
      </c>
      <c r="AT73" s="20">
        <v>12.7757407956615</v>
      </c>
      <c r="AU73" s="20">
        <v>0</v>
      </c>
      <c r="AV73" s="20">
        <v>35377.190457832701</v>
      </c>
      <c r="AW73" s="20">
        <f t="shared" si="26"/>
        <v>194.57454751807987</v>
      </c>
      <c r="AX73" s="20">
        <f t="shared" si="27"/>
        <v>45.38208367577829</v>
      </c>
      <c r="AY73" s="20">
        <f>SUM($AX$3:AX73)</f>
        <v>1017.2912266001728</v>
      </c>
    </row>
    <row r="74" spans="2:51" x14ac:dyDescent="0.2">
      <c r="B74">
        <v>2096</v>
      </c>
      <c r="C74" s="1">
        <v>0</v>
      </c>
      <c r="D74" s="1">
        <v>17.6498126401071</v>
      </c>
      <c r="E74" s="1">
        <v>0</v>
      </c>
      <c r="F74" s="1">
        <v>27471.521879643398</v>
      </c>
      <c r="G74" s="1">
        <f t="shared" si="14"/>
        <v>151.09337033803871</v>
      </c>
      <c r="H74" s="1">
        <f t="shared" si="15"/>
        <v>133.44355769793162</v>
      </c>
      <c r="I74" s="1">
        <f>SUM($H$3:H74)</f>
        <v>3487.0283206382919</v>
      </c>
      <c r="J74" s="3">
        <v>0</v>
      </c>
      <c r="K74" s="3">
        <v>12.429185455145801</v>
      </c>
      <c r="L74" s="3">
        <v>0</v>
      </c>
      <c r="M74" s="3">
        <v>21567.6788504574</v>
      </c>
      <c r="N74" s="3">
        <f t="shared" si="16"/>
        <v>118.62223367751569</v>
      </c>
      <c r="O74" s="3">
        <f t="shared" si="17"/>
        <v>106.1930482223699</v>
      </c>
      <c r="P74" s="3">
        <f>SUM($O$3:O74)</f>
        <v>2625.8801780136232</v>
      </c>
      <c r="Q74" s="5">
        <v>0</v>
      </c>
      <c r="R74" s="5">
        <v>4.8690399668612496</v>
      </c>
      <c r="S74" s="5">
        <v>0</v>
      </c>
      <c r="T74" s="5">
        <v>16970.410567306499</v>
      </c>
      <c r="U74" s="5">
        <f t="shared" si="18"/>
        <v>93.337258120185751</v>
      </c>
      <c r="V74" s="5">
        <f t="shared" si="19"/>
        <v>88.4682181533245</v>
      </c>
      <c r="W74" s="5">
        <f>SUM($V$3:V74)</f>
        <v>3823.3990077324461</v>
      </c>
      <c r="X74" s="6">
        <v>3.6112889019898375</v>
      </c>
      <c r="Y74" s="6">
        <v>4.8690399668612496</v>
      </c>
      <c r="Z74" s="6">
        <v>0</v>
      </c>
      <c r="AA74" s="6">
        <v>18508.849854826101</v>
      </c>
      <c r="AB74" s="6">
        <f t="shared" si="20"/>
        <v>101.79867420154356</v>
      </c>
      <c r="AC74" s="6">
        <f t="shared" si="21"/>
        <v>93.318345332692473</v>
      </c>
      <c r="AD74" s="6">
        <f>SUM($AC$3:AC74)</f>
        <v>2744.1118386894273</v>
      </c>
      <c r="AE74" s="14">
        <v>169.08852419783989</v>
      </c>
      <c r="AF74" s="14">
        <v>49.4409497803439</v>
      </c>
      <c r="AG74" s="14">
        <v>0</v>
      </c>
      <c r="AH74" s="14">
        <v>42835.465543328399</v>
      </c>
      <c r="AI74" s="14">
        <f t="shared" si="22"/>
        <v>235.59506048830622</v>
      </c>
      <c r="AJ74" s="14">
        <f t="shared" si="23"/>
        <v>17.065586510122444</v>
      </c>
      <c r="AK74" s="14">
        <f>SUM($AJ$3:AJ74)</f>
        <v>1017.1405864544437</v>
      </c>
      <c r="AL74" s="16">
        <v>172.41478791385998</v>
      </c>
      <c r="AM74" s="16">
        <v>18.521473567061602</v>
      </c>
      <c r="AN74" s="16">
        <v>0</v>
      </c>
      <c r="AO74" s="16">
        <v>38127.739262701201</v>
      </c>
      <c r="AP74" s="16">
        <f t="shared" si="24"/>
        <v>209.70256594485659</v>
      </c>
      <c r="AQ74" s="16">
        <f t="shared" si="25"/>
        <v>18.766304463935001</v>
      </c>
      <c r="AR74" s="16">
        <f>SUM($AQ$3:AQ74)</f>
        <v>1123.5495020772321</v>
      </c>
      <c r="AS74" s="20">
        <v>174.33460881509018</v>
      </c>
      <c r="AT74" s="20">
        <v>12.3467684201396</v>
      </c>
      <c r="AU74" s="20">
        <v>0</v>
      </c>
      <c r="AV74" s="20">
        <v>36667.232117184001</v>
      </c>
      <c r="AW74" s="20">
        <f t="shared" si="26"/>
        <v>201.66977664451201</v>
      </c>
      <c r="AX74" s="20">
        <f t="shared" si="27"/>
        <v>14.988399409282238</v>
      </c>
      <c r="AY74" s="20">
        <f>SUM($AX$3:AX74)</f>
        <v>1032.2796260094551</v>
      </c>
    </row>
    <row r="75" spans="2:51" x14ac:dyDescent="0.2">
      <c r="B75">
        <v>2097</v>
      </c>
      <c r="C75" s="1">
        <v>0</v>
      </c>
      <c r="D75" s="1">
        <v>16.850997195523401</v>
      </c>
      <c r="E75" s="1">
        <v>0</v>
      </c>
      <c r="F75" s="1">
        <v>27674.1945918042</v>
      </c>
      <c r="G75" s="1">
        <f t="shared" si="14"/>
        <v>152.20807025492311</v>
      </c>
      <c r="H75" s="1">
        <f t="shared" si="15"/>
        <v>135.35707305939971</v>
      </c>
      <c r="I75" s="1">
        <f>SUM($H$3:H75)</f>
        <v>3622.3853936976916</v>
      </c>
      <c r="J75" s="3">
        <v>0</v>
      </c>
      <c r="K75" s="3">
        <v>11.5808758549543</v>
      </c>
      <c r="L75" s="3">
        <v>0</v>
      </c>
      <c r="M75" s="3">
        <v>21716.4084901106</v>
      </c>
      <c r="N75" s="3">
        <f t="shared" si="16"/>
        <v>119.44024669560829</v>
      </c>
      <c r="O75" s="3">
        <f t="shared" si="17"/>
        <v>107.85937084065399</v>
      </c>
      <c r="P75" s="3">
        <f>SUM($O$3:O75)</f>
        <v>2733.739548854277</v>
      </c>
      <c r="Q75" s="5">
        <v>0</v>
      </c>
      <c r="R75" s="5">
        <v>4.3357652005526104</v>
      </c>
      <c r="S75" s="5">
        <v>0</v>
      </c>
      <c r="T75" s="5">
        <v>16997.8845765269</v>
      </c>
      <c r="U75" s="5">
        <f t="shared" si="18"/>
        <v>93.488365170897964</v>
      </c>
      <c r="V75" s="5">
        <f t="shared" si="19"/>
        <v>89.152599970345349</v>
      </c>
      <c r="W75" s="5">
        <f>SUM($V$3:V75)</f>
        <v>3912.5516077027914</v>
      </c>
      <c r="X75" s="6">
        <v>3.6112889019900649</v>
      </c>
      <c r="Y75" s="6">
        <v>4.3357652005526104</v>
      </c>
      <c r="Z75" s="6">
        <v>0</v>
      </c>
      <c r="AA75" s="6">
        <v>18539.935152948601</v>
      </c>
      <c r="AB75" s="6">
        <f t="shared" si="20"/>
        <v>101.96964334121731</v>
      </c>
      <c r="AC75" s="6">
        <f t="shared" si="21"/>
        <v>94.022589238674627</v>
      </c>
      <c r="AD75" s="6">
        <f>SUM($AC$3:AC75)</f>
        <v>2838.134427928102</v>
      </c>
      <c r="AE75" s="14">
        <v>169.08852419783989</v>
      </c>
      <c r="AF75" s="14">
        <v>50.191073992191797</v>
      </c>
      <c r="AG75" s="14">
        <v>0</v>
      </c>
      <c r="AH75" s="14">
        <v>44306.1114701197</v>
      </c>
      <c r="AI75" s="14">
        <f t="shared" si="22"/>
        <v>243.68361308565838</v>
      </c>
      <c r="AJ75" s="14">
        <f t="shared" si="23"/>
        <v>24.404014895626688</v>
      </c>
      <c r="AK75" s="14">
        <f>SUM($AJ$3:AJ75)</f>
        <v>1041.5446013500705</v>
      </c>
      <c r="AL75" s="16">
        <v>172.41478791387044</v>
      </c>
      <c r="AM75" s="16">
        <v>18.358412052962699</v>
      </c>
      <c r="AN75" s="16">
        <v>0</v>
      </c>
      <c r="AO75" s="16">
        <v>39460.673731506002</v>
      </c>
      <c r="AP75" s="16">
        <f t="shared" si="24"/>
        <v>217.03370552328303</v>
      </c>
      <c r="AQ75" s="16">
        <f t="shared" si="25"/>
        <v>26.260505556449885</v>
      </c>
      <c r="AR75" s="16">
        <f>SUM($AQ$3:AQ75)</f>
        <v>1149.8100076336821</v>
      </c>
      <c r="AS75" s="20">
        <v>174.33460881507972</v>
      </c>
      <c r="AT75" s="20">
        <v>11.9177960446178</v>
      </c>
      <c r="AU75" s="20">
        <v>0</v>
      </c>
      <c r="AV75" s="20">
        <v>37957.273776535403</v>
      </c>
      <c r="AW75" s="20">
        <f t="shared" si="26"/>
        <v>208.76500577094473</v>
      </c>
      <c r="AX75" s="20">
        <f t="shared" si="27"/>
        <v>22.512600911247205</v>
      </c>
      <c r="AY75" s="20">
        <f>SUM($AX$3:AX75)</f>
        <v>1054.7922269207024</v>
      </c>
    </row>
    <row r="76" spans="2:51" x14ac:dyDescent="0.2">
      <c r="B76">
        <v>2098</v>
      </c>
      <c r="C76" s="1">
        <v>0</v>
      </c>
      <c r="D76" s="1">
        <v>16.052181750939798</v>
      </c>
      <c r="E76" s="1">
        <v>0</v>
      </c>
      <c r="F76" s="1">
        <v>27876.867303964998</v>
      </c>
      <c r="G76" s="1">
        <f t="shared" si="14"/>
        <v>153.32277017180749</v>
      </c>
      <c r="H76" s="1">
        <f t="shared" si="15"/>
        <v>137.27058842086768</v>
      </c>
      <c r="I76" s="1">
        <f>SUM($H$3:H76)</f>
        <v>3759.6559821185592</v>
      </c>
      <c r="J76" s="3">
        <v>0</v>
      </c>
      <c r="K76" s="3">
        <v>10.7325662547627</v>
      </c>
      <c r="L76" s="3">
        <v>0</v>
      </c>
      <c r="M76" s="3">
        <v>21865.138129763902</v>
      </c>
      <c r="N76" s="3">
        <f t="shared" si="16"/>
        <v>120.25825971370146</v>
      </c>
      <c r="O76" s="3">
        <f t="shared" si="17"/>
        <v>109.52569345893876</v>
      </c>
      <c r="P76" s="3">
        <f>SUM($O$3:O76)</f>
        <v>2843.2652423132158</v>
      </c>
      <c r="Q76" s="5">
        <v>0</v>
      </c>
      <c r="R76" s="5">
        <v>3.8024904342439698</v>
      </c>
      <c r="S76" s="5">
        <v>0</v>
      </c>
      <c r="T76" s="5">
        <v>17025.358585747399</v>
      </c>
      <c r="U76" s="5">
        <f t="shared" si="18"/>
        <v>93.639472221610703</v>
      </c>
      <c r="V76" s="5">
        <f t="shared" si="19"/>
        <v>89.836981787366739</v>
      </c>
      <c r="W76" s="5">
        <f>SUM($V$3:V76)</f>
        <v>4002.3885894901582</v>
      </c>
      <c r="X76" s="6">
        <v>3.6112889019800605</v>
      </c>
      <c r="Y76" s="6">
        <v>3.8024904342439698</v>
      </c>
      <c r="Z76" s="6">
        <v>0</v>
      </c>
      <c r="AA76" s="6">
        <v>18571.020451070999</v>
      </c>
      <c r="AB76" s="6">
        <f t="shared" si="20"/>
        <v>102.1406124808905</v>
      </c>
      <c r="AC76" s="6">
        <f t="shared" si="21"/>
        <v>94.726833144666472</v>
      </c>
      <c r="AD76" s="6">
        <f>SUM($AC$3:AC76)</f>
        <v>2932.8612610727687</v>
      </c>
      <c r="AE76" s="14">
        <v>169.08852419785035</v>
      </c>
      <c r="AF76" s="14">
        <v>50.941198204039601</v>
      </c>
      <c r="AG76" s="14">
        <v>0</v>
      </c>
      <c r="AH76" s="14">
        <v>45776.757396911002</v>
      </c>
      <c r="AI76" s="14">
        <f t="shared" si="22"/>
        <v>251.77216568301051</v>
      </c>
      <c r="AJ76" s="14">
        <f t="shared" si="23"/>
        <v>31.742443281120558</v>
      </c>
      <c r="AK76" s="14">
        <f>SUM($AJ$3:AJ76)</f>
        <v>1073.2870446311911</v>
      </c>
      <c r="AL76" s="16">
        <v>172.41478791385998</v>
      </c>
      <c r="AM76" s="16">
        <v>18.195350538863799</v>
      </c>
      <c r="AN76" s="16">
        <v>0</v>
      </c>
      <c r="AO76" s="16">
        <v>40793.608200310802</v>
      </c>
      <c r="AP76" s="16">
        <f t="shared" si="24"/>
        <v>224.36484510170942</v>
      </c>
      <c r="AQ76" s="16">
        <f t="shared" si="25"/>
        <v>33.754706648985632</v>
      </c>
      <c r="AR76" s="16">
        <f>SUM($AQ$3:AQ76)</f>
        <v>1183.5647142826676</v>
      </c>
      <c r="AS76" s="20">
        <v>174.33460881508017</v>
      </c>
      <c r="AT76" s="20">
        <v>11.4888236690959</v>
      </c>
      <c r="AU76" s="20">
        <v>0</v>
      </c>
      <c r="AV76" s="20">
        <v>39247.315435886798</v>
      </c>
      <c r="AW76" s="20">
        <f t="shared" si="26"/>
        <v>215.86023489737741</v>
      </c>
      <c r="AX76" s="20">
        <f t="shared" si="27"/>
        <v>30.036802413201343</v>
      </c>
      <c r="AY76" s="20">
        <f>SUM($AX$3:AX76)</f>
        <v>1084.8290293339037</v>
      </c>
    </row>
    <row r="77" spans="2:51" x14ac:dyDescent="0.2">
      <c r="B77">
        <v>2099</v>
      </c>
      <c r="C77" s="1">
        <v>0</v>
      </c>
      <c r="D77" s="1">
        <v>15.253366306356099</v>
      </c>
      <c r="E77" s="1">
        <v>0</v>
      </c>
      <c r="F77" s="1">
        <v>28079.5400161258</v>
      </c>
      <c r="G77" s="1">
        <f t="shared" si="14"/>
        <v>154.43747008869192</v>
      </c>
      <c r="H77" s="1">
        <f t="shared" si="15"/>
        <v>139.18410378233582</v>
      </c>
      <c r="I77" s="1">
        <f>SUM($H$3:H77)</f>
        <v>3898.8400859008952</v>
      </c>
      <c r="J77" s="3">
        <v>0</v>
      </c>
      <c r="K77" s="3">
        <v>9.8842566545711907</v>
      </c>
      <c r="L77" s="3">
        <v>0</v>
      </c>
      <c r="M77" s="3">
        <v>22013.8677694172</v>
      </c>
      <c r="N77" s="3">
        <f t="shared" si="16"/>
        <v>121.0762727317946</v>
      </c>
      <c r="O77" s="3">
        <f t="shared" si="17"/>
        <v>111.19201607722341</v>
      </c>
      <c r="P77" s="3">
        <f>SUM($O$3:O77)</f>
        <v>2954.4572583904392</v>
      </c>
      <c r="Q77" s="5">
        <v>0</v>
      </c>
      <c r="R77" s="5">
        <v>3.2692156679353301</v>
      </c>
      <c r="S77" s="5">
        <v>0</v>
      </c>
      <c r="T77" s="5">
        <v>17052.832594967898</v>
      </c>
      <c r="U77" s="5">
        <f t="shared" si="18"/>
        <v>93.790579272323441</v>
      </c>
      <c r="V77" s="5">
        <f t="shared" si="19"/>
        <v>90.521363604388114</v>
      </c>
      <c r="W77" s="5">
        <f>SUM($V$3:V77)</f>
        <v>4092.9099530945464</v>
      </c>
      <c r="X77" s="6">
        <v>3.6112889019898375</v>
      </c>
      <c r="Y77" s="6">
        <v>3.2692156679353301</v>
      </c>
      <c r="Z77" s="6">
        <v>0</v>
      </c>
      <c r="AA77" s="6">
        <v>18602.105749193499</v>
      </c>
      <c r="AB77" s="6">
        <f t="shared" si="20"/>
        <v>102.31158162056425</v>
      </c>
      <c r="AC77" s="6">
        <f t="shared" si="21"/>
        <v>95.43107705063909</v>
      </c>
      <c r="AD77" s="6">
        <f>SUM($AC$3:AC77)</f>
        <v>3028.2923381234077</v>
      </c>
      <c r="AE77" s="14">
        <v>169.08852419783989</v>
      </c>
      <c r="AF77" s="14">
        <v>51.691322415887399</v>
      </c>
      <c r="AG77" s="14">
        <v>0</v>
      </c>
      <c r="AH77" s="14">
        <v>47247.403323702303</v>
      </c>
      <c r="AI77" s="14">
        <f t="shared" si="22"/>
        <v>259.86071828036268</v>
      </c>
      <c r="AJ77" s="14">
        <f t="shared" si="23"/>
        <v>39.080871666635403</v>
      </c>
      <c r="AK77" s="14">
        <f>SUM($AJ$3:AJ77)</f>
        <v>1112.3679162978265</v>
      </c>
      <c r="AL77" s="16">
        <v>172.41478791386999</v>
      </c>
      <c r="AM77" s="16">
        <v>18.0322890247649</v>
      </c>
      <c r="AN77" s="16">
        <v>0</v>
      </c>
      <c r="AO77" s="16">
        <v>42126.542669115501</v>
      </c>
      <c r="AP77" s="16">
        <f t="shared" si="24"/>
        <v>231.69598468013524</v>
      </c>
      <c r="AQ77" s="16">
        <f t="shared" si="25"/>
        <v>41.248907741500346</v>
      </c>
      <c r="AR77" s="16">
        <f>SUM($AQ$3:AQ77)</f>
        <v>1224.8136220241679</v>
      </c>
      <c r="AS77" s="20">
        <v>174.33460881507972</v>
      </c>
      <c r="AT77" s="20">
        <v>11.059851293574001</v>
      </c>
      <c r="AU77" s="20">
        <v>0</v>
      </c>
      <c r="AV77" s="20">
        <v>40537.357095238098</v>
      </c>
      <c r="AW77" s="20">
        <f t="shared" si="26"/>
        <v>222.95546402380955</v>
      </c>
      <c r="AX77" s="20">
        <f t="shared" si="27"/>
        <v>37.561003915155823</v>
      </c>
      <c r="AY77" s="20">
        <f>SUM($AX$3:AX77)</f>
        <v>1122.3900332490596</v>
      </c>
    </row>
    <row r="78" spans="2:51" x14ac:dyDescent="0.2">
      <c r="B78">
        <v>2100</v>
      </c>
      <c r="C78" s="1">
        <v>0</v>
      </c>
      <c r="D78" s="1">
        <v>14.4545508617725</v>
      </c>
      <c r="E78" s="1">
        <v>0</v>
      </c>
      <c r="F78" s="1">
        <v>28282.212728286599</v>
      </c>
      <c r="G78" s="1">
        <f t="shared" si="14"/>
        <v>155.5521700055763</v>
      </c>
      <c r="H78" s="1">
        <f t="shared" si="15"/>
        <v>141.0976191438038</v>
      </c>
      <c r="I78" s="9">
        <f>SUM($H$3:H78)</f>
        <v>4039.9377050446992</v>
      </c>
      <c r="J78" s="3">
        <v>0</v>
      </c>
      <c r="K78" s="3">
        <v>9.0359470543796494</v>
      </c>
      <c r="L78" s="3">
        <v>0</v>
      </c>
      <c r="M78" s="3">
        <v>22162.597409070499</v>
      </c>
      <c r="N78" s="3">
        <f t="shared" si="16"/>
        <v>121.89428574988774</v>
      </c>
      <c r="O78" s="3">
        <f t="shared" si="17"/>
        <v>112.8583386955081</v>
      </c>
      <c r="P78" s="10">
        <f>SUM($O$3:O78)</f>
        <v>3067.315597085947</v>
      </c>
      <c r="Q78" s="5">
        <v>0</v>
      </c>
      <c r="R78" s="5">
        <v>2.73594090162669</v>
      </c>
      <c r="S78" s="5">
        <v>0</v>
      </c>
      <c r="T78" s="5">
        <v>17080.306604188401</v>
      </c>
      <c r="U78" s="5">
        <f t="shared" si="18"/>
        <v>93.941686323036208</v>
      </c>
      <c r="V78" s="5">
        <f t="shared" si="19"/>
        <v>91.205745421409517</v>
      </c>
      <c r="W78" s="24">
        <f>SUM($V$3:V78)</f>
        <v>4184.115698515956</v>
      </c>
      <c r="X78" s="6">
        <v>3.6112889019900649</v>
      </c>
      <c r="Y78" s="6">
        <v>2.73594090162669</v>
      </c>
      <c r="Z78" s="6">
        <v>0</v>
      </c>
      <c r="AA78" s="6">
        <v>18633.191047315999</v>
      </c>
      <c r="AB78" s="6">
        <f t="shared" si="20"/>
        <v>102.482550760238</v>
      </c>
      <c r="AC78" s="6">
        <f t="shared" si="21"/>
        <v>96.135320956621243</v>
      </c>
      <c r="AD78" s="23">
        <f>SUM($AC$3:AC78)</f>
        <v>3124.4276590800291</v>
      </c>
      <c r="AE78" s="14">
        <v>169.08852419783989</v>
      </c>
      <c r="AF78" s="14">
        <v>52.441446627735303</v>
      </c>
      <c r="AG78" s="14">
        <v>0</v>
      </c>
      <c r="AH78" s="14">
        <v>48718.049250493597</v>
      </c>
      <c r="AI78" s="14">
        <f t="shared" si="22"/>
        <v>267.94927087771481</v>
      </c>
      <c r="AJ78" s="14">
        <f t="shared" si="23"/>
        <v>46.419300052139619</v>
      </c>
      <c r="AK78" s="22">
        <f>SUM($AJ$3:AJ78)</f>
        <v>1158.787216349966</v>
      </c>
      <c r="AL78" s="16">
        <v>172.41478791385998</v>
      </c>
      <c r="AM78" s="16">
        <v>17.869227510666001</v>
      </c>
      <c r="AN78" s="16">
        <v>0</v>
      </c>
      <c r="AO78" s="16">
        <v>43459.477137920199</v>
      </c>
      <c r="AP78" s="16">
        <f t="shared" si="24"/>
        <v>239.02712425856112</v>
      </c>
      <c r="AQ78" s="16">
        <f t="shared" si="25"/>
        <v>48.743108834035127</v>
      </c>
      <c r="AR78" s="17">
        <f>SUM($AQ$3:AQ78)</f>
        <v>1273.5567308582031</v>
      </c>
      <c r="AS78" s="20">
        <v>174.33460881509018</v>
      </c>
      <c r="AT78" s="20">
        <v>10.630878918052201</v>
      </c>
      <c r="AU78" s="20">
        <v>0</v>
      </c>
      <c r="AV78" s="20">
        <v>41827.3987545895</v>
      </c>
      <c r="AW78" s="20">
        <f t="shared" si="26"/>
        <v>230.05069315024227</v>
      </c>
      <c r="AX78" s="20">
        <f t="shared" si="27"/>
        <v>45.0852054170999</v>
      </c>
      <c r="AY78" s="19">
        <f>SUM($AX$3:AX78)</f>
        <v>1167.4752386661594</v>
      </c>
    </row>
    <row r="79" spans="2:51" x14ac:dyDescent="0.2">
      <c r="AS79">
        <f>SUM(AS3:AS78)</f>
        <v>3955.96209585101</v>
      </c>
    </row>
  </sheetData>
  <mergeCells count="7">
    <mergeCell ref="AL1:AR1"/>
    <mergeCell ref="AS1:AY1"/>
    <mergeCell ref="C1:I1"/>
    <mergeCell ref="J1:P1"/>
    <mergeCell ref="Q1:W1"/>
    <mergeCell ref="X1:AD1"/>
    <mergeCell ref="AE1:AK1"/>
  </mergeCells>
  <conditionalFormatting sqref="I3:I78">
    <cfRule type="cellIs" dxfId="7" priority="7" operator="lessThan">
      <formula>0</formula>
    </cfRule>
    <cfRule type="expression" dxfId="6" priority="8">
      <formula>"&lt;0"</formula>
    </cfRule>
  </conditionalFormatting>
  <conditionalFormatting sqref="P3:P78">
    <cfRule type="cellIs" dxfId="5" priority="6" operator="lessThan">
      <formula>0</formula>
    </cfRule>
  </conditionalFormatting>
  <conditionalFormatting sqref="W3:W78">
    <cfRule type="cellIs" dxfId="4" priority="4" operator="lessThan">
      <formula>0</formula>
    </cfRule>
  </conditionalFormatting>
  <conditionalFormatting sqref="AD3:AD78">
    <cfRule type="cellIs" dxfId="3" priority="5" operator="lessThan">
      <formula>0</formula>
    </cfRule>
  </conditionalFormatting>
  <conditionalFormatting sqref="AK3:AK78">
    <cfRule type="cellIs" dxfId="2" priority="2" operator="lessThan">
      <formula>0</formula>
    </cfRule>
  </conditionalFormatting>
  <conditionalFormatting sqref="AR3:AR78">
    <cfRule type="cellIs" dxfId="1" priority="3" operator="lessThan">
      <formula>0</formula>
    </cfRule>
  </conditionalFormatting>
  <conditionalFormatting sqref="AY3:AY78">
    <cfRule type="cellIs" dxfId="0" priority="1" operator="lessThan">
      <formula>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75c20-18d4-40c9-811f-0d8ea387c6ea}" enabled="0" method="" siteId="{78975c20-18d4-40c9-811f-0d8ea387c6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Flannery Dolan</dc:creator>
  <cp:lastModifiedBy>Flannery Dolan</cp:lastModifiedBy>
  <dcterms:created xsi:type="dcterms:W3CDTF">2025-08-13T20:33:48Z</dcterms:created>
  <dcterms:modified xsi:type="dcterms:W3CDTF">2025-10-13T21:58:35Z</dcterms:modified>
</cp:coreProperties>
</file>